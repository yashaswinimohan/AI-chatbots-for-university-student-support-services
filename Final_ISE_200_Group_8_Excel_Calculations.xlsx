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s" sheetId="1" r:id="rId4"/>
    <sheet state="visible" name="Cash Flows" sheetId="2" r:id="rId5"/>
    <sheet state="visible" name="Economic Metrics" sheetId="3" r:id="rId6"/>
    <sheet state="visible" name="Sensitivity" sheetId="4" r:id="rId7"/>
    <sheet state="visible" name="Dashboard" sheetId="5" r:id="rId8"/>
    <sheet state="visible" name="Charts" sheetId="6" r:id="rId9"/>
  </sheets>
  <definedNames/>
  <calcPr/>
  <extLst>
    <ext uri="GoogleSheetsCustomDataVersion2">
      <go:sheetsCustomData xmlns:go="http://customooxmlschemas.google.com/" r:id="rId10" roundtripDataChecksum="M1S0bgxxE1pfixs8J7488hNnjeTH9udd6MkRqH7b3mk="/>
    </ext>
  </extLst>
</workbook>
</file>

<file path=xl/sharedStrings.xml><?xml version="1.0" encoding="utf-8"?>
<sst xmlns="http://schemas.openxmlformats.org/spreadsheetml/2006/main" count="384" uniqueCount="212">
  <si>
    <t>AI Chatbot for University Student Support</t>
  </si>
  <si>
    <t>INPUT Data</t>
  </si>
  <si>
    <t>Parameter</t>
  </si>
  <si>
    <t>UC Berkeley</t>
  </si>
  <si>
    <t>Stanford University</t>
  </si>
  <si>
    <t>Arizona State University</t>
  </si>
  <si>
    <t>Enter your University: SJSU  ( Example)</t>
  </si>
  <si>
    <t>SECTION 1  LABOR PARAMETERS</t>
  </si>
  <si>
    <t>Number of support staff (FTE)</t>
  </si>
  <si>
    <t>Annual wage per employee ($)</t>
  </si>
  <si>
    <t>Annual hours per FTE</t>
  </si>
  <si>
    <t>Workforce reduction (base case %)</t>
  </si>
  <si>
    <t>SECTION 2  YEAR 0 IMPLEMENTATION COSTS</t>
  </si>
  <si>
    <t>Initial setup / integration cost ($)</t>
  </si>
  <si>
    <t>Staff training cost ($)</t>
  </si>
  <si>
    <t>SECTION 3  ANNUAL RECURRING COSTS</t>
  </si>
  <si>
    <t>Annual chatbot subscription ($)</t>
  </si>
  <si>
    <t>Annual maintenance / admin cost ($)</t>
  </si>
  <si>
    <t>SECTION 4  GROWTH RATES &amp; DISCOUNT RATE</t>
  </si>
  <si>
    <t>Annual benefit growth rate</t>
  </si>
  <si>
    <t>Annual cost growth rate</t>
  </si>
  <si>
    <t>Analysis period (years)</t>
  </si>
  <si>
    <t>MARR / Discount rate</t>
  </si>
  <si>
    <t>SECTION 5 Calculations</t>
  </si>
  <si>
    <t>Total labor cost (current, $/yr)</t>
  </si>
  <si>
    <t>Annual labor savings Year 1 ($)</t>
  </si>
  <si>
    <t>Year 0 total investment ($)</t>
  </si>
  <si>
    <t>Year 1 net cash flow ($)</t>
  </si>
  <si>
    <t>5-YEAR CASH FLOW ANALYSIS | All Universities</t>
  </si>
  <si>
    <t>University</t>
  </si>
  <si>
    <t>Year</t>
  </si>
  <si>
    <t>Labor Savings ($)</t>
  </si>
  <si>
    <t>Subscription ($)</t>
  </si>
  <si>
    <t>Maintenance ($)</t>
  </si>
  <si>
    <t>Net Cash Flow ($)</t>
  </si>
  <si>
    <t>Discount Factor</t>
  </si>
  <si>
    <t>PV of Cash Flow ($)</t>
  </si>
  <si>
    <t>Cumulative PV ($)</t>
  </si>
  <si>
    <t>TOTALS</t>
  </si>
  <si>
    <t xml:space="preserve">Input given : SJSU UNIVERSITY </t>
  </si>
  <si>
    <t>SJSU UNIVERSITY</t>
  </si>
  <si>
    <t>ECONOMIC METRICS = NPV, IRR, Payback, BCR, Decision</t>
  </si>
  <si>
    <t>Metric</t>
  </si>
  <si>
    <t>Stanford Univ.</t>
  </si>
  <si>
    <t>Arizona State Univ.</t>
  </si>
  <si>
    <t>Net Present Value (NPV)</t>
  </si>
  <si>
    <t>Internal Rate of Return (IRR)</t>
  </si>
  <si>
    <t>MARR (hurdle rate)</t>
  </si>
  <si>
    <t>IRR − MARR Spread</t>
  </si>
  <si>
    <t>Total Undiscounted Benefits ($)</t>
  </si>
  <si>
    <t>Total Recurring Costs ($)</t>
  </si>
  <si>
    <t>Year 0 Investment ($)</t>
  </si>
  <si>
    <t>Benefit-Cost Ratio (BCR)</t>
  </si>
  <si>
    <t>DECISION</t>
  </si>
  <si>
    <t>DISCOUNTED PAYBACK PERIOD  (Year when Cumulative PV turns positive)</t>
  </si>
  <si>
    <t>Cumul. PV
UC Berkeley</t>
  </si>
  <si>
    <t>Cumul. PV
Stanford University</t>
  </si>
  <si>
    <t>Cumul. PV
Arizona State University</t>
  </si>
  <si>
    <t>Cumul. PV
Your University</t>
  </si>
  <si>
    <t>Status</t>
  </si>
  <si>
    <t xml:space="preserve">SENSITIVITY ANALYSIS </t>
  </si>
  <si>
    <t>SECTION 1 — WORKFORCE REDUCTION SENSITIVITY  (base = 35%,  range = 25% to 45%)</t>
  </si>
  <si>
    <t>Scenario</t>
  </si>
  <si>
    <t>Reduction
%</t>
  </si>
  <si>
    <t>← UCB  →</t>
  </si>
  <si>
    <t>← Stanford  →</t>
  </si>
  <si>
    <t>← ASU  →</t>
  </si>
  <si>
    <t>← SJSU  →</t>
  </si>
  <si>
    <t>← NPV Results →</t>
  </si>
  <si>
    <t>Best
NPV</t>
  </si>
  <si>
    <t>%</t>
  </si>
  <si>
    <t>UCB
Yr1 Sav</t>
  </si>
  <si>
    <t>UCB
Yr1 Cost</t>
  </si>
  <si>
    <t>UCB
Yr1 CF</t>
  </si>
  <si>
    <t>UCB
Yr2 CF</t>
  </si>
  <si>
    <t>UCB
Yr3 CF</t>
  </si>
  <si>
    <t>UCB
Yr4 CF</t>
  </si>
  <si>
    <t>UCB
Yr5 CF</t>
  </si>
  <si>
    <t>SU
Yr1 Sav</t>
  </si>
  <si>
    <t>SU
Yr1 Cost</t>
  </si>
  <si>
    <t>SU
Yr1 CF</t>
  </si>
  <si>
    <t>SU
Yr2 CF</t>
  </si>
  <si>
    <t>SU
Yr3 CF</t>
  </si>
  <si>
    <t>SU
Yr4 CF</t>
  </si>
  <si>
    <t>SU
Yr5 CF</t>
  </si>
  <si>
    <t>ASU
Yr1 Sav</t>
  </si>
  <si>
    <t>ASU
Yr1 Cost</t>
  </si>
  <si>
    <t>ASU
Yr1 CF</t>
  </si>
  <si>
    <t>ASU
Yr2 CF</t>
  </si>
  <si>
    <t>ASU
Yr3 CF</t>
  </si>
  <si>
    <t>ASU
Yr4 CF</t>
  </si>
  <si>
    <t>ASU
Yr5 CF</t>
  </si>
  <si>
    <t>SJSU
Yr1 Sav</t>
  </si>
  <si>
    <t>SJSU
Yr1 Cost</t>
  </si>
  <si>
    <t>SJSU
Yr1 CF</t>
  </si>
  <si>
    <t>SJSU
Yr2 CF</t>
  </si>
  <si>
    <t>SJSU
Yr3 CF</t>
  </si>
  <si>
    <t>SJSU
Yr4 CF</t>
  </si>
  <si>
    <t>SJSU
Yr5 CF</t>
  </si>
  <si>
    <t>NPV
UCB</t>
  </si>
  <si>
    <t>NPV
Stanford</t>
  </si>
  <si>
    <t>NPV
ASU</t>
  </si>
  <si>
    <t>NPV
SJSU</t>
  </si>
  <si>
    <t>Best NPV</t>
  </si>
  <si>
    <t>25% (Pessimistic)</t>
  </si>
  <si>
    <t>35% (Base Case)</t>
  </si>
  <si>
    <t>45% (Optimistic)</t>
  </si>
  <si>
    <t>SECTION 2 — MARR / DISCOUNT RATE SENSITIVITY  (base = 8%)</t>
  </si>
  <si>
    <t>MARR
%</t>
  </si>
  <si>
    <t>UCB
Yr0</t>
  </si>
  <si>
    <t>SU
Yr0</t>
  </si>
  <si>
    <t>ASU
Yr0</t>
  </si>
  <si>
    <t>SJSU
Yr0</t>
  </si>
  <si>
    <t>6%  (Low)</t>
  </si>
  <si>
    <t>8%  (Base Case)</t>
  </si>
  <si>
    <t>10% (High)</t>
  </si>
  <si>
    <t>12% (Conservative)</t>
  </si>
  <si>
    <t>SECTION 3 — SETUP COST SENSITIVITY  (base = ×1.0)</t>
  </si>
  <si>
    <t>Multiplier</t>
  </si>
  <si>
    <t>UCB
Setup Cost</t>
  </si>
  <si>
    <t>UCB
Year 0 Total</t>
  </si>
  <si>
    <t>SU
Setup Cost</t>
  </si>
  <si>
    <t>SU
Year 0 Total</t>
  </si>
  <si>
    <t>ASU
Setup Cost</t>
  </si>
  <si>
    <t>ASU
Year 0 Total</t>
  </si>
  <si>
    <t>SJSU
Setup Cost</t>
  </si>
  <si>
    <t>SJSU
Year 0 Total</t>
  </si>
  <si>
    <t>Optimistic  (−30%)</t>
  </si>
  <si>
    <t>Base Case   (×1.0)</t>
  </si>
  <si>
    <t>Overrun     (+50%)</t>
  </si>
  <si>
    <t>High Risk   (×2.0)</t>
  </si>
  <si>
    <t>SECTION 4 — SUBSCRIPTION COST SENSITIVITY</t>
  </si>
  <si>
    <t>Annual
Subscription</t>
  </si>
  <si>
    <t>$5,000 / yr  (Low tier)</t>
  </si>
  <si>
    <t>Base Case  (from Inputs)</t>
  </si>
  <si>
    <t>From Inputs</t>
  </si>
  <si>
    <t>$25,000 / yr (High tier)</t>
  </si>
  <si>
    <t>$40,000 / yr (Enterprise)</t>
  </si>
  <si>
    <t xml:space="preserve">DASHBOARD </t>
  </si>
  <si>
    <t>SJSU University</t>
  </si>
  <si>
    <t>NPV</t>
  </si>
  <si>
    <t>KEY METRICS COMPARISON</t>
  </si>
  <si>
    <t>SJSU</t>
  </si>
  <si>
    <t>NPV ($)</t>
  </si>
  <si>
    <t>IRR</t>
  </si>
  <si>
    <t>BCR</t>
  </si>
  <si>
    <t>Decision</t>
  </si>
  <si>
    <t>CHARTS  Comparing All Universities</t>
  </si>
  <si>
    <t>IRR (%)</t>
  </si>
  <si>
    <t>SJSU — SAN JOSÉ STATE UNIVERSITY | Full Metrics Detail</t>
  </si>
  <si>
    <t>Value</t>
  </si>
  <si>
    <t>Benchmark vs Others</t>
  </si>
  <si>
    <t>Support staff (FTE)</t>
  </si>
  <si>
    <t>Annual wage per FTE ($)</t>
  </si>
  <si>
    <t>Workforce reduction (%)</t>
  </si>
  <si>
    <t>Year 0 investment ($)</t>
  </si>
  <si>
    <t>Annual subscription ($)</t>
  </si>
  <si>
    <t>Annual maintenance ($)</t>
  </si>
  <si>
    <t>Year 1 labor savings ($)</t>
  </si>
  <si>
    <t>5-yr total benefits ($)</t>
  </si>
  <si>
    <t>5-yr recurring costs ($)</t>
  </si>
  <si>
    <t>Rank 3 of 4 universities</t>
  </si>
  <si>
    <t>Rank 2 of 4 universities</t>
  </si>
  <si>
    <t>IRR − MARR spread</t>
  </si>
  <si>
    <t>Benefit-Cost Ratio</t>
  </si>
  <si>
    <t>Discounted payback (yr)</t>
  </si>
  <si>
    <t xml:space="preserve">CHARTS </t>
  </si>
  <si>
    <t>TABLE</t>
  </si>
  <si>
    <t xml:space="preserve"> Key Financial Metrics Comparison</t>
  </si>
  <si>
    <t>Y0 Investment ($)</t>
  </si>
  <si>
    <t>Total Benefits ($)</t>
  </si>
  <si>
    <t>Total Costs ($)</t>
  </si>
  <si>
    <t xml:space="preserve"> Net Present Value (NPV) by University</t>
  </si>
  <si>
    <t xml:space="preserve"> Internal Rate of Return (IRR) vs MARR Hurdle</t>
  </si>
  <si>
    <t>UCB Savings</t>
  </si>
  <si>
    <t>UCB Costs</t>
  </si>
  <si>
    <t>SU Savings</t>
  </si>
  <si>
    <t>SU Costs</t>
  </si>
  <si>
    <t>ASU Savings</t>
  </si>
  <si>
    <t>ASU Costs</t>
  </si>
  <si>
    <t>SJSU Savings</t>
  </si>
  <si>
    <t>SJSU Costs</t>
  </si>
  <si>
    <t xml:space="preserve"> Annual Cash Flow &amp; Payback Analysis</t>
  </si>
  <si>
    <t>Net Cash Flow by Year (All Universities)</t>
  </si>
  <si>
    <t>Cumulative PV (Payback Curve)</t>
  </si>
  <si>
    <t>35% (Base)</t>
  </si>
  <si>
    <t>MARR</t>
  </si>
  <si>
    <t>6%</t>
  </si>
  <si>
    <t>8% (Base)</t>
  </si>
  <si>
    <t>10%</t>
  </si>
  <si>
    <t>12%</t>
  </si>
  <si>
    <t>Setup Scenario</t>
  </si>
  <si>
    <t>−30%</t>
  </si>
  <si>
    <t>Base</t>
  </si>
  <si>
    <t>+50%</t>
  </si>
  <si>
    <t>×2.0</t>
  </si>
  <si>
    <t xml:space="preserve"> Labor Savings vs Recurring Costs by Year</t>
  </si>
  <si>
    <t xml:space="preserve"> UCB &amp; Stanford: Savings vs Costs</t>
  </si>
  <si>
    <t>Investment Breakdown: Y0 vs Benefits vs Costs</t>
  </si>
  <si>
    <t>Recurring Costs ($)</t>
  </si>
  <si>
    <t>Subscription</t>
  </si>
  <si>
    <t>NPV UCB</t>
  </si>
  <si>
    <t>NPV Stanford</t>
  </si>
  <si>
    <t>NPV ASU</t>
  </si>
  <si>
    <t>NPV SJSU</t>
  </si>
  <si>
    <t>$5,000 / yr</t>
  </si>
  <si>
    <t>Base Case</t>
  </si>
  <si>
    <t>$25,000 / yr</t>
  </si>
  <si>
    <t>$40,000 / yr</t>
  </si>
  <si>
    <t>SECTION 4 — Sensitivity Analysis: NPV Under Different Assumptions</t>
  </si>
  <si>
    <t>NPV Sensitivity to Workforce Reduction %</t>
  </si>
  <si>
    <t xml:space="preserve">NPV Sensitivity to MARR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</si>
</sst>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\$#,##0"/>
    <numFmt numFmtId="165" formatCode="0.0%"/>
    <numFmt numFmtId="166" formatCode="\$#,##0;&quot;($&quot;#,##0\);\-"/>
    <numFmt numFmtId="167" formatCode="0.0000"/>
    <numFmt numFmtId="168" formatCode="0.00\x"/>
    <numFmt numFmtId="169" formatCode="0.0\x"/>
  </numFmts>
  <fonts count="11">
    <font>
      <sz val="11.0"/>
      <color theme="1"/>
      <name val="Calibri"/>
      <scheme val="minor"/>
    </font>
    <font>
      <b/>
      <sz val="22.0"/>
      <color rgb="FFFFFFFF"/>
      <name val="Times New Roman"/>
    </font>
    <font/>
    <font>
      <sz val="11.0"/>
      <color theme="1"/>
      <name val="Calibri"/>
    </font>
    <font>
      <b/>
      <sz val="16.0"/>
      <color rgb="FFFFFFFF"/>
      <name val="Times New Roman"/>
    </font>
    <font>
      <sz val="16.0"/>
      <color rgb="FF000000"/>
      <name val="Times New Roman"/>
    </font>
    <font>
      <sz val="10.0"/>
      <color rgb="FF000000"/>
      <name val="Calibri"/>
    </font>
    <font>
      <b/>
      <sz val="10.0"/>
      <color rgb="FFFFFFFF"/>
      <name val="Calibri"/>
    </font>
    <font>
      <b/>
      <sz val="16.0"/>
      <color rgb="FF000000"/>
      <name val="Times New Roman"/>
    </font>
    <font>
      <b/>
      <sz val="10.0"/>
      <color theme="0"/>
      <name val="Calibri"/>
    </font>
    <font>
      <b/>
      <sz val="14.0"/>
      <color theme="0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7F7F7F"/>
        <bgColor rgb="FF7F7F7F"/>
      </patternFill>
    </fill>
  </fills>
  <borders count="22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right style="medium">
        <color rgb="FF000000"/>
      </right>
    </border>
    <border>
      <left style="medium">
        <color rgb="FF000000"/>
      </left>
    </border>
    <border>
      <left style="thin">
        <color rgb="FFCCCCCC"/>
      </left>
      <right style="medium">
        <color rgb="FF000000"/>
      </right>
      <top style="thin">
        <color rgb="FFCCCCCC"/>
      </top>
      <bottom style="thin">
        <color rgb="FFCCCCCC"/>
      </bottom>
    </border>
    <border>
      <left style="medium">
        <color rgb="FF000000"/>
      </left>
      <right style="thin">
        <color rgb="FFCCCCCC"/>
      </right>
      <top style="thin">
        <color rgb="FFCCCCCC"/>
      </top>
      <bottom style="medium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2" fontId="4" numFmtId="0" xfId="0" applyAlignment="1" applyBorder="1" applyFont="1">
      <alignment horizontal="center" vertical="center"/>
    </xf>
    <xf borderId="1" fillId="3" fontId="5" numFmtId="0" xfId="0" applyAlignment="1" applyBorder="1" applyFill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4" fillId="3" fontId="5" numFmtId="1" xfId="0" applyAlignment="1" applyBorder="1" applyFont="1" applyNumberFormat="1">
      <alignment horizontal="center" vertical="center"/>
    </xf>
    <xf borderId="4" fillId="3" fontId="5" numFmtId="164" xfId="0" applyAlignment="1" applyBorder="1" applyFont="1" applyNumberFormat="1">
      <alignment horizontal="center" vertical="center"/>
    </xf>
    <xf borderId="4" fillId="3" fontId="5" numFmtId="9" xfId="0" applyAlignment="1" applyBorder="1" applyFont="1" applyNumberFormat="1">
      <alignment horizontal="center" vertical="center"/>
    </xf>
    <xf borderId="4" fillId="3" fontId="5" numFmtId="165" xfId="0" applyAlignment="1" applyBorder="1" applyFont="1" applyNumberFormat="1">
      <alignment horizontal="center" vertical="center"/>
    </xf>
    <xf borderId="5" fillId="4" fontId="4" numFmtId="0" xfId="0" applyAlignment="1" applyBorder="1" applyFill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4" fontId="3" numFmtId="0" xfId="0" applyAlignment="1" applyBorder="1" applyFont="1">
      <alignment horizontal="center"/>
    </xf>
    <xf borderId="8" fillId="4" fontId="4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center" wrapText="1"/>
    </xf>
    <xf borderId="4" fillId="3" fontId="5" numFmtId="166" xfId="0" applyAlignment="1" applyBorder="1" applyFont="1" applyNumberFormat="1">
      <alignment horizontal="center" vertical="center"/>
    </xf>
    <xf borderId="4" fillId="3" fontId="5" numFmtId="167" xfId="0" applyAlignment="1" applyBorder="1" applyFont="1" applyNumberFormat="1">
      <alignment horizontal="center" vertical="center"/>
    </xf>
    <xf borderId="9" fillId="0" fontId="3" numFmtId="0" xfId="0" applyAlignment="1" applyBorder="1" applyFont="1">
      <alignment horizontal="center" vertical="center"/>
    </xf>
    <xf borderId="4" fillId="2" fontId="7" numFmtId="0" xfId="0" applyAlignment="1" applyBorder="1" applyFont="1">
      <alignment horizontal="center" vertical="center"/>
    </xf>
    <xf borderId="4" fillId="2" fontId="4" numFmtId="166" xfId="0" applyAlignment="1" applyBorder="1" applyFont="1" applyNumberFormat="1">
      <alignment horizontal="center" vertical="center"/>
    </xf>
    <xf borderId="1" fillId="2" fontId="4" numFmtId="0" xfId="0" applyAlignment="1" applyBorder="1" applyFont="1">
      <alignment horizontal="center" readingOrder="0" vertical="center"/>
    </xf>
    <xf borderId="4" fillId="4" fontId="4" numFmtId="0" xfId="0" applyAlignment="1" applyBorder="1" applyFont="1">
      <alignment horizontal="center" vertical="center"/>
    </xf>
    <xf borderId="4" fillId="4" fontId="5" numFmtId="0" xfId="0" applyAlignment="1" applyBorder="1" applyFont="1">
      <alignment horizontal="center" shrinkToFit="0" vertical="center" wrapText="1"/>
    </xf>
    <xf borderId="4" fillId="3" fontId="5" numFmtId="10" xfId="0" applyAlignment="1" applyBorder="1" applyFont="1" applyNumberFormat="1">
      <alignment horizontal="center" vertical="center"/>
    </xf>
    <xf borderId="4" fillId="3" fontId="5" numFmtId="168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2" fontId="4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4" fillId="3" fontId="5" numFmtId="0" xfId="0" applyAlignment="1" applyBorder="1" applyFont="1">
      <alignment horizontal="center" shrinkToFit="0" vertical="center" wrapText="1"/>
    </xf>
    <xf borderId="4" fillId="3" fontId="5" numFmtId="9" xfId="0" applyAlignment="1" applyBorder="1" applyFont="1" applyNumberFormat="1">
      <alignment horizontal="center" shrinkToFit="0" vertical="center" wrapText="1"/>
    </xf>
    <xf borderId="4" fillId="5" fontId="5" numFmtId="164" xfId="0" applyAlignment="1" applyBorder="1" applyFill="1" applyFont="1" applyNumberFormat="1">
      <alignment horizontal="center" vertical="center"/>
    </xf>
    <xf borderId="4" fillId="3" fontId="8" numFmtId="0" xfId="0" applyAlignment="1" applyBorder="1" applyFont="1">
      <alignment horizontal="center" shrinkToFit="0" vertical="center" wrapText="1"/>
    </xf>
    <xf borderId="4" fillId="3" fontId="8" numFmtId="9" xfId="0" applyAlignment="1" applyBorder="1" applyFont="1" applyNumberFormat="1">
      <alignment horizontal="center" shrinkToFit="0" vertical="center" wrapText="1"/>
    </xf>
    <xf borderId="4" fillId="3" fontId="8" numFmtId="164" xfId="0" applyAlignment="1" applyBorder="1" applyFont="1" applyNumberFormat="1">
      <alignment horizontal="center" vertical="center"/>
    </xf>
    <xf borderId="4" fillId="3" fontId="5" numFmtId="169" xfId="0" applyAlignment="1" applyBorder="1" applyFont="1" applyNumberFormat="1">
      <alignment horizontal="center" shrinkToFit="0" vertical="center" wrapText="1"/>
    </xf>
    <xf borderId="4" fillId="3" fontId="8" numFmtId="169" xfId="0" applyAlignment="1" applyBorder="1" applyFont="1" applyNumberFormat="1">
      <alignment horizontal="center" shrinkToFit="0" vertical="center" wrapText="1"/>
    </xf>
    <xf borderId="4" fillId="3" fontId="5" numFmtId="164" xfId="0" applyAlignment="1" applyBorder="1" applyFont="1" applyNumberFormat="1">
      <alignment horizontal="center" shrinkToFit="0" vertical="center" wrapText="1"/>
    </xf>
    <xf borderId="1" fillId="3" fontId="5" numFmtId="0" xfId="0" applyAlignment="1" applyBorder="1" applyFont="1">
      <alignment horizontal="left" vertical="center"/>
    </xf>
    <xf borderId="1" fillId="2" fontId="4" numFmtId="0" xfId="0" applyAlignment="1" applyBorder="1" applyFont="1">
      <alignment horizontal="left" vertical="center"/>
    </xf>
    <xf borderId="4" fillId="2" fontId="4" numFmtId="0" xfId="0" applyAlignment="1" applyBorder="1" applyFont="1">
      <alignment horizontal="left" vertical="center"/>
    </xf>
    <xf borderId="4" fillId="4" fontId="4" numFmtId="0" xfId="0" applyAlignment="1" applyBorder="1" applyFont="1">
      <alignment horizontal="left" vertical="center"/>
    </xf>
    <xf borderId="4" fillId="4" fontId="5" numFmtId="0" xfId="0" applyAlignment="1" applyBorder="1" applyFont="1">
      <alignment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vertical="center"/>
    </xf>
    <xf borderId="4" fillId="3" fontId="5" numFmtId="166" xfId="0" applyAlignment="1" applyBorder="1" applyFont="1" applyNumberFormat="1">
      <alignment vertical="center"/>
    </xf>
    <xf borderId="4" fillId="3" fontId="5" numFmtId="10" xfId="0" applyAlignment="1" applyBorder="1" applyFont="1" applyNumberFormat="1">
      <alignment vertical="center"/>
    </xf>
    <xf borderId="4" fillId="3" fontId="5" numFmtId="168" xfId="0" applyAlignment="1" applyBorder="1" applyFont="1" applyNumberFormat="1">
      <alignment vertical="center"/>
    </xf>
    <xf borderId="4" fillId="3" fontId="5" numFmtId="164" xfId="0" applyAlignment="1" applyBorder="1" applyFont="1" applyNumberFormat="1">
      <alignment horizontal="right" vertical="center"/>
    </xf>
    <xf borderId="4" fillId="3" fontId="5" numFmtId="165" xfId="0" applyAlignment="1" applyBorder="1" applyFont="1" applyNumberFormat="1">
      <alignment horizontal="right" vertical="center"/>
    </xf>
    <xf borderId="4" fillId="3" fontId="5" numFmtId="2" xfId="0" applyAlignment="1" applyBorder="1" applyFont="1" applyNumberFormat="1">
      <alignment horizontal="right" vertical="center"/>
    </xf>
    <xf borderId="4" fillId="2" fontId="9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11" fillId="6" fontId="3" numFmtId="0" xfId="0" applyAlignment="1" applyBorder="1" applyFill="1" applyFont="1">
      <alignment horizontal="center" vertical="center"/>
    </xf>
    <xf borderId="12" fillId="6" fontId="3" numFmtId="0" xfId="0" applyAlignment="1" applyBorder="1" applyFont="1">
      <alignment horizontal="center" vertical="center"/>
    </xf>
    <xf borderId="12" fillId="6" fontId="10" numFmtId="0" xfId="0" applyAlignment="1" applyBorder="1" applyFont="1">
      <alignment horizontal="center" vertical="center"/>
    </xf>
    <xf borderId="13" fillId="6" fontId="3" numFmtId="0" xfId="0" applyAlignment="1" applyBorder="1" applyFont="1">
      <alignment horizontal="center" vertical="center"/>
    </xf>
    <xf borderId="14" fillId="3" fontId="5" numFmtId="0" xfId="0" applyAlignment="1" applyBorder="1" applyFont="1">
      <alignment horizontal="center" vertical="center"/>
    </xf>
    <xf borderId="15" fillId="0" fontId="3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shrinkToFit="0" vertical="center" wrapText="1"/>
    </xf>
    <xf borderId="4" fillId="3" fontId="5" numFmtId="2" xfId="0" applyAlignment="1" applyBorder="1" applyFont="1" applyNumberFormat="1">
      <alignment horizontal="center" vertical="center"/>
    </xf>
    <xf borderId="16" fillId="0" fontId="3" numFmtId="0" xfId="0" applyAlignment="1" applyBorder="1" applyFont="1">
      <alignment horizontal="center" vertical="center"/>
    </xf>
    <xf borderId="17" fillId="3" fontId="5" numFmtId="0" xfId="0" applyAlignment="1" applyBorder="1" applyFont="1">
      <alignment horizontal="center" vertical="center"/>
    </xf>
    <xf borderId="17" fillId="3" fontId="5" numFmtId="164" xfId="0" applyAlignment="1" applyBorder="1" applyFont="1" applyNumberFormat="1">
      <alignment horizontal="center" vertical="center"/>
    </xf>
    <xf borderId="14" fillId="2" fontId="4" numFmtId="0" xfId="0" applyAlignment="1" applyBorder="1" applyFont="1">
      <alignment horizontal="center" shrinkToFit="0" vertical="center" wrapText="1"/>
    </xf>
    <xf borderId="18" fillId="3" fontId="5" numFmtId="0" xfId="0" applyAlignment="1" applyBorder="1" applyFont="1">
      <alignment horizontal="center" vertical="center"/>
    </xf>
    <xf borderId="19" fillId="3" fontId="5" numFmtId="164" xfId="0" applyAlignment="1" applyBorder="1" applyFont="1" applyNumberFormat="1">
      <alignment horizontal="center" vertical="center"/>
    </xf>
    <xf borderId="20" fillId="0" fontId="3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NPV Comparison by University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NPV ($)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Charts!$M$5:$M$8</c:f>
            </c:strRef>
          </c:cat>
          <c:val>
            <c:numRef>
              <c:f>Charts!$N$5:$N$8</c:f>
              <c:numCache/>
            </c:numRef>
          </c:val>
        </c:ser>
        <c:axId val="1540646458"/>
        <c:axId val="23067592"/>
      </c:barChart>
      <c:catAx>
        <c:axId val="1540646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University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3067592"/>
      </c:catAx>
      <c:valAx>
        <c:axId val="230675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Net Present Value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4064645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IRR vs MARR (8% Hurdle Rate)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IRR (%)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Charts!$M$5:$M$8</c:f>
            </c:strRef>
          </c:cat>
          <c:val>
            <c:numRef>
              <c:f>Charts!$O$5:$O$8</c:f>
              <c:numCache/>
            </c:numRef>
          </c:val>
        </c:ser>
        <c:axId val="1599472892"/>
        <c:axId val="776331727"/>
      </c:barChart>
      <c:catAx>
        <c:axId val="15994728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University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776331727"/>
      </c:catAx>
      <c:valAx>
        <c:axId val="7763317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9947289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NPV Comparison by University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NPV ($)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Charts!$M$5:$M$8</c:f>
            </c:strRef>
          </c:cat>
          <c:val>
            <c:numRef>
              <c:f>Charts!$N$5:$N$8</c:f>
              <c:numCache/>
            </c:numRef>
          </c:val>
        </c:ser>
        <c:axId val="1432040558"/>
        <c:axId val="1941552722"/>
      </c:barChart>
      <c:catAx>
        <c:axId val="14320405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University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1552722"/>
      </c:catAx>
      <c:valAx>
        <c:axId val="19415527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Net Present Value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32040558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IRR vs MARR (8% Hurdle Rate)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IRR (%)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Charts!$M$5:$M$8</c:f>
            </c:strRef>
          </c:cat>
          <c:val>
            <c:numRef>
              <c:f>Charts!$O$5:$O$8</c:f>
              <c:numCache/>
            </c:numRef>
          </c:val>
        </c:ser>
        <c:axId val="1478297797"/>
        <c:axId val="1724590609"/>
      </c:barChart>
      <c:catAx>
        <c:axId val="14782977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University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724590609"/>
      </c:catAx>
      <c:valAx>
        <c:axId val="17245906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Rate (%)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78297797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Net Cash Flow by Year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UC Berkeley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cat>
            <c:strRef>
              <c:f>Charts!$M$11:$M$16</c:f>
            </c:strRef>
          </c:cat>
          <c:val>
            <c:numRef>
              <c:f>Charts!$N$11:$N$16</c:f>
              <c:numCache/>
            </c:numRef>
          </c:val>
        </c:ser>
        <c:ser>
          <c:idx val="1"/>
          <c:order val="1"/>
          <c:tx>
            <c:v>Stanford Univ.</c:v>
          </c:tx>
          <c:spPr>
            <a:solidFill>
              <a:srgbClr val="A0A0A0"/>
            </a:solidFill>
            <a:ln cmpd="sng">
              <a:solidFill>
                <a:srgbClr val="000000"/>
              </a:solidFill>
            </a:ln>
          </c:spPr>
          <c:cat>
            <c:strRef>
              <c:f>Charts!$M$11:$M$16</c:f>
            </c:strRef>
          </c:cat>
          <c:val>
            <c:numRef>
              <c:f>Charts!$O$11:$O$16</c:f>
              <c:numCache/>
            </c:numRef>
          </c:val>
        </c:ser>
        <c:ser>
          <c:idx val="2"/>
          <c:order val="2"/>
          <c:tx>
            <c:v>Arizona State Univ.</c:v>
          </c:tx>
          <c:spPr>
            <a:solidFill>
              <a:srgbClr val="2E4057"/>
            </a:solidFill>
            <a:ln cmpd="sng">
              <a:solidFill>
                <a:srgbClr val="000000"/>
              </a:solidFill>
            </a:ln>
          </c:spPr>
          <c:cat>
            <c:strRef>
              <c:f>Charts!$M$11:$M$16</c:f>
            </c:strRef>
          </c:cat>
          <c:val>
            <c:numRef>
              <c:f>Charts!$P$11:$P$16</c:f>
              <c:numCache/>
            </c:numRef>
          </c:val>
        </c:ser>
        <c:ser>
          <c:idx val="3"/>
          <c:order val="3"/>
          <c:tx>
            <c:v>SJSU</c:v>
          </c:tx>
          <c:spPr>
            <a:solidFill>
              <a:srgbClr val="B0B0B0"/>
            </a:solidFill>
            <a:ln cmpd="sng">
              <a:solidFill>
                <a:srgbClr val="000000"/>
              </a:solidFill>
            </a:ln>
          </c:spPr>
          <c:cat>
            <c:strRef>
              <c:f>Charts!$M$11:$M$16</c:f>
            </c:strRef>
          </c:cat>
          <c:val>
            <c:numRef>
              <c:f>Charts!$Q$11:$Q$16</c:f>
              <c:numCache/>
            </c:numRef>
          </c:val>
        </c:ser>
        <c:axId val="440900136"/>
        <c:axId val="1914430488"/>
      </c:barChart>
      <c:catAx>
        <c:axId val="440900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14430488"/>
      </c:catAx>
      <c:valAx>
        <c:axId val="19144304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Net Cash Flow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40900136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Cumulative PV — Payback Curve</a:t>
            </a:r>
          </a:p>
        </c:rich>
      </c:tx>
      <c:overlay val="0"/>
    </c:title>
    <c:plotArea>
      <c:layout/>
      <c:lineChart>
        <c:ser>
          <c:idx val="0"/>
          <c:order val="0"/>
          <c:tx>
            <c:v>UC Berkeley</c:v>
          </c:tx>
          <c:spPr>
            <a:ln cmpd="sng" w="19050">
              <a:solidFill>
                <a:srgbClr val="595959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595959">
                  <a:alpha val="100000"/>
                </a:srgbClr>
              </a:solidFill>
              <a:ln cmpd="sng">
                <a:solidFill>
                  <a:srgbClr val="595959">
                    <a:alpha val="100000"/>
                  </a:srgbClr>
                </a:solidFill>
              </a:ln>
            </c:spPr>
          </c:marker>
          <c:cat>
            <c:strRef>
              <c:f>Charts!$M$19:$M$24</c:f>
            </c:strRef>
          </c:cat>
          <c:val>
            <c:numRef>
              <c:f>Charts!$N$19:$N$24</c:f>
              <c:numCache/>
            </c:numRef>
          </c:val>
          <c:smooth val="1"/>
        </c:ser>
        <c:ser>
          <c:idx val="1"/>
          <c:order val="1"/>
          <c:tx>
            <c:v>Stanford Univ.</c:v>
          </c:tx>
          <c:spPr>
            <a:ln cmpd="sng" w="19050">
              <a:solidFill>
                <a:srgbClr val="A0A0A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A0A0A0">
                  <a:alpha val="100000"/>
                </a:srgbClr>
              </a:solidFill>
              <a:ln cmpd="sng">
                <a:solidFill>
                  <a:srgbClr val="A0A0A0">
                    <a:alpha val="100000"/>
                  </a:srgbClr>
                </a:solidFill>
              </a:ln>
            </c:spPr>
          </c:marker>
          <c:cat>
            <c:strRef>
              <c:f>Charts!$M$19:$M$24</c:f>
            </c:strRef>
          </c:cat>
          <c:val>
            <c:numRef>
              <c:f>Charts!$O$19:$O$24</c:f>
              <c:numCache/>
            </c:numRef>
          </c:val>
          <c:smooth val="1"/>
        </c:ser>
        <c:ser>
          <c:idx val="2"/>
          <c:order val="2"/>
          <c:tx>
            <c:v>Arizona State Univ.</c:v>
          </c:tx>
          <c:spPr>
            <a:ln cmpd="sng" w="19050">
              <a:solidFill>
                <a:srgbClr val="2E4057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2E4057">
                  <a:alpha val="100000"/>
                </a:srgbClr>
              </a:solidFill>
              <a:ln cmpd="sng">
                <a:solidFill>
                  <a:srgbClr val="2E4057">
                    <a:alpha val="100000"/>
                  </a:srgbClr>
                </a:solidFill>
              </a:ln>
            </c:spPr>
          </c:marker>
          <c:cat>
            <c:strRef>
              <c:f>Charts!$M$19:$M$24</c:f>
            </c:strRef>
          </c:cat>
          <c:val>
            <c:numRef>
              <c:f>Charts!$P$19:$P$24</c:f>
              <c:numCache/>
            </c:numRef>
          </c:val>
          <c:smooth val="1"/>
        </c:ser>
        <c:ser>
          <c:idx val="3"/>
          <c:order val="3"/>
          <c:tx>
            <c:v>SJSU</c:v>
          </c:tx>
          <c:spPr>
            <a:ln cmpd="sng" w="19050">
              <a:solidFill>
                <a:srgbClr val="B0B0B0">
                  <a:alpha val="100000"/>
                </a:srgbClr>
              </a:solidFill>
            </a:ln>
          </c:spPr>
          <c:marker>
            <c:symbol val="circle"/>
            <c:size val="5"/>
            <c:spPr>
              <a:solidFill>
                <a:srgbClr val="B0B0B0">
                  <a:alpha val="100000"/>
                </a:srgbClr>
              </a:solidFill>
              <a:ln cmpd="sng">
                <a:solidFill>
                  <a:srgbClr val="B0B0B0">
                    <a:alpha val="100000"/>
                  </a:srgbClr>
                </a:solidFill>
              </a:ln>
            </c:spPr>
          </c:marker>
          <c:cat>
            <c:strRef>
              <c:f>Charts!$M$19:$M$24</c:f>
            </c:strRef>
          </c:cat>
          <c:val>
            <c:numRef>
              <c:f>Charts!$Q$19:$Q$24</c:f>
              <c:numCache/>
            </c:numRef>
          </c:val>
          <c:smooth val="1"/>
        </c:ser>
        <c:axId val="102628115"/>
        <c:axId val="247587520"/>
      </c:lineChart>
      <c:catAx>
        <c:axId val="1026281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7587520"/>
      </c:catAx>
      <c:valAx>
        <c:axId val="2475875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Cumulative PV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2628115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Labor Savings vs Recurring Costs by Year</a:t>
            </a:r>
          </a:p>
        </c:rich>
      </c:tx>
      <c:layout>
        <c:manualLayout>
          <c:xMode val="edge"/>
          <c:yMode val="edge"/>
          <c:x val="0.2617061240161259"/>
          <c:y val="0.01047637608127853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UCB Savings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cat>
            <c:strRef>
              <c:f>Charts!$M$27:$M$31</c:f>
            </c:strRef>
          </c:cat>
          <c:val>
            <c:numRef>
              <c:f>Charts!$N$27:$N$31</c:f>
              <c:numCache/>
            </c:numRef>
          </c:val>
        </c:ser>
        <c:ser>
          <c:idx val="1"/>
          <c:order val="1"/>
          <c:tx>
            <c:v>UCB Costs</c:v>
          </c:tx>
          <c:spPr>
            <a:solidFill>
              <a:srgbClr val="A0A0A0"/>
            </a:solidFill>
            <a:ln cmpd="sng">
              <a:solidFill>
                <a:srgbClr val="000000"/>
              </a:solidFill>
            </a:ln>
          </c:spPr>
          <c:cat>
            <c:strRef>
              <c:f>Charts!$M$27:$M$31</c:f>
            </c:strRef>
          </c:cat>
          <c:val>
            <c:numRef>
              <c:f>Charts!$O$27:$O$31</c:f>
              <c:numCache/>
            </c:numRef>
          </c:val>
        </c:ser>
        <c:ser>
          <c:idx val="2"/>
          <c:order val="2"/>
          <c:tx>
            <c:v>SU Savings</c:v>
          </c:tx>
          <c:spPr>
            <a:solidFill>
              <a:srgbClr val="2E4057"/>
            </a:solidFill>
            <a:ln cmpd="sng">
              <a:solidFill>
                <a:srgbClr val="000000"/>
              </a:solidFill>
            </a:ln>
          </c:spPr>
          <c:cat>
            <c:strRef>
              <c:f>Charts!$M$27:$M$31</c:f>
            </c:strRef>
          </c:cat>
          <c:val>
            <c:numRef>
              <c:f>Charts!$P$27:$P$31</c:f>
              <c:numCache/>
            </c:numRef>
          </c:val>
        </c:ser>
        <c:ser>
          <c:idx val="3"/>
          <c:order val="3"/>
          <c:tx>
            <c:v>SU Costs</c:v>
          </c:tx>
          <c:spPr>
            <a:solidFill>
              <a:srgbClr val="B0B0B0"/>
            </a:solidFill>
            <a:ln cmpd="sng">
              <a:solidFill>
                <a:srgbClr val="000000"/>
              </a:solidFill>
            </a:ln>
          </c:spPr>
          <c:cat>
            <c:strRef>
              <c:f>Charts!$M$27:$M$31</c:f>
            </c:strRef>
          </c:cat>
          <c:val>
            <c:numRef>
              <c:f>Charts!$Q$27:$Q$31</c:f>
              <c:numCache/>
            </c:numRef>
          </c:val>
        </c:ser>
        <c:axId val="247052561"/>
        <c:axId val="1671110093"/>
      </c:barChart>
      <c:catAx>
        <c:axId val="247052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1110093"/>
      </c:catAx>
      <c:valAx>
        <c:axId val="1671110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705256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Investment Breakdown: Y0 vs Benefits vs Costs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Y0 Investment ($)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cat>
            <c:strRef>
              <c:f>Charts!$M$54:$M$57</c:f>
            </c:strRef>
          </c:cat>
          <c:val>
            <c:numRef>
              <c:f>Charts!$N$54:$N$57</c:f>
              <c:numCache/>
            </c:numRef>
          </c:val>
        </c:ser>
        <c:ser>
          <c:idx val="1"/>
          <c:order val="1"/>
          <c:tx>
            <c:v>Total Benefits ($)</c:v>
          </c:tx>
          <c:spPr>
            <a:solidFill>
              <a:srgbClr val="A0A0A0"/>
            </a:solidFill>
            <a:ln cmpd="sng">
              <a:solidFill>
                <a:srgbClr val="000000"/>
              </a:solidFill>
            </a:ln>
          </c:spPr>
          <c:cat>
            <c:strRef>
              <c:f>Charts!$M$54:$M$57</c:f>
            </c:strRef>
          </c:cat>
          <c:val>
            <c:numRef>
              <c:f>Charts!$O$54:$O$57</c:f>
              <c:numCache/>
            </c:numRef>
          </c:val>
        </c:ser>
        <c:ser>
          <c:idx val="2"/>
          <c:order val="2"/>
          <c:tx>
            <c:v>Recurring Costs ($)</c:v>
          </c:tx>
          <c:spPr>
            <a:solidFill>
              <a:srgbClr val="2E4057"/>
            </a:solidFill>
            <a:ln cmpd="sng">
              <a:solidFill>
                <a:srgbClr val="000000"/>
              </a:solidFill>
            </a:ln>
          </c:spPr>
          <c:cat>
            <c:strRef>
              <c:f>Charts!$M$54:$M$57</c:f>
            </c:strRef>
          </c:cat>
          <c:val>
            <c:numRef>
              <c:f>Charts!$P$54:$P$57</c:f>
              <c:numCache/>
            </c:numRef>
          </c:val>
        </c:ser>
        <c:axId val="99536081"/>
        <c:axId val="115145293"/>
      </c:barChart>
      <c:catAx>
        <c:axId val="995360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University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15145293"/>
      </c:catAx>
      <c:valAx>
        <c:axId val="1151452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53608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NPV Sensitivity to Workforce Reduction %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UC Berkeley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cat>
            <c:strRef>
              <c:f>Charts!$M$37:$M$39</c:f>
            </c:strRef>
          </c:cat>
          <c:val>
            <c:numRef>
              <c:f>Charts!$N$37:$N$39</c:f>
              <c:numCache/>
            </c:numRef>
          </c:val>
        </c:ser>
        <c:ser>
          <c:idx val="1"/>
          <c:order val="1"/>
          <c:tx>
            <c:v>Stanford Univ.</c:v>
          </c:tx>
          <c:spPr>
            <a:solidFill>
              <a:srgbClr val="A0A0A0"/>
            </a:solidFill>
            <a:ln cmpd="sng">
              <a:solidFill>
                <a:srgbClr val="000000"/>
              </a:solidFill>
            </a:ln>
          </c:spPr>
          <c:cat>
            <c:strRef>
              <c:f>Charts!$M$37:$M$39</c:f>
            </c:strRef>
          </c:cat>
          <c:val>
            <c:numRef>
              <c:f>Charts!$O$37:$O$39</c:f>
              <c:numCache/>
            </c:numRef>
          </c:val>
        </c:ser>
        <c:ser>
          <c:idx val="2"/>
          <c:order val="2"/>
          <c:tx>
            <c:v>Arizona State Univ.</c:v>
          </c:tx>
          <c:spPr>
            <a:solidFill>
              <a:srgbClr val="2E4057"/>
            </a:solidFill>
            <a:ln cmpd="sng">
              <a:solidFill>
                <a:srgbClr val="000000"/>
              </a:solidFill>
            </a:ln>
          </c:spPr>
          <c:cat>
            <c:strRef>
              <c:f>Charts!$M$37:$M$39</c:f>
            </c:strRef>
          </c:cat>
          <c:val>
            <c:numRef>
              <c:f>Charts!$P$37:$P$39</c:f>
              <c:numCache/>
            </c:numRef>
          </c:val>
        </c:ser>
        <c:ser>
          <c:idx val="3"/>
          <c:order val="3"/>
          <c:tx>
            <c:v>SJSU</c:v>
          </c:tx>
          <c:spPr>
            <a:solidFill>
              <a:srgbClr val="B0B0B0"/>
            </a:solidFill>
            <a:ln cmpd="sng">
              <a:solidFill>
                <a:srgbClr val="000000"/>
              </a:solidFill>
            </a:ln>
          </c:spPr>
          <c:cat>
            <c:strRef>
              <c:f>Charts!$M$37:$M$39</c:f>
            </c:strRef>
          </c:cat>
          <c:val>
            <c:numRef>
              <c:f>Charts!$Q$37:$Q$39</c:f>
              <c:numCache/>
            </c:numRef>
          </c:val>
        </c:ser>
        <c:axId val="1410971972"/>
        <c:axId val="271999142"/>
      </c:barChart>
      <c:catAx>
        <c:axId val="1410971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Scenario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71999142"/>
      </c:catAx>
      <c:valAx>
        <c:axId val="27199914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NPV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410971972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Calibri"/>
              </a:defRPr>
            </a:pPr>
            <a:r>
              <a:rPr b="1" i="0" sz="1400">
                <a:solidFill>
                  <a:srgbClr val="000000"/>
                </a:solidFill>
                <a:latin typeface="Calibri"/>
              </a:rPr>
              <a:t>NPV Sensitivity to MARR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UC Berkeley</c:v>
          </c:tx>
          <c:spPr>
            <a:solidFill>
              <a:srgbClr val="595959"/>
            </a:solidFill>
            <a:ln cmpd="sng">
              <a:solidFill>
                <a:srgbClr val="000000"/>
              </a:solidFill>
            </a:ln>
          </c:spPr>
          <c:cat>
            <c:strRef>
              <c:f>Charts!$M$42:$M$45</c:f>
            </c:strRef>
          </c:cat>
          <c:val>
            <c:numRef>
              <c:f>Charts!$N$42:$N$45</c:f>
              <c:numCache/>
            </c:numRef>
          </c:val>
        </c:ser>
        <c:ser>
          <c:idx val="1"/>
          <c:order val="1"/>
          <c:tx>
            <c:v>Stanford Univ.</c:v>
          </c:tx>
          <c:spPr>
            <a:solidFill>
              <a:srgbClr val="A0A0A0"/>
            </a:solidFill>
            <a:ln cmpd="sng">
              <a:solidFill>
                <a:srgbClr val="000000"/>
              </a:solidFill>
            </a:ln>
          </c:spPr>
          <c:cat>
            <c:strRef>
              <c:f>Charts!$M$42:$M$45</c:f>
            </c:strRef>
          </c:cat>
          <c:val>
            <c:numRef>
              <c:f>Charts!$O$42:$O$45</c:f>
              <c:numCache/>
            </c:numRef>
          </c:val>
        </c:ser>
        <c:ser>
          <c:idx val="2"/>
          <c:order val="2"/>
          <c:tx>
            <c:v>Arizona State Univ.</c:v>
          </c:tx>
          <c:spPr>
            <a:solidFill>
              <a:srgbClr val="2E4057"/>
            </a:solidFill>
            <a:ln cmpd="sng">
              <a:solidFill>
                <a:srgbClr val="000000"/>
              </a:solidFill>
            </a:ln>
          </c:spPr>
          <c:cat>
            <c:strRef>
              <c:f>Charts!$M$42:$M$45</c:f>
            </c:strRef>
          </c:cat>
          <c:val>
            <c:numRef>
              <c:f>Charts!$P$42:$P$45</c:f>
              <c:numCache/>
            </c:numRef>
          </c:val>
        </c:ser>
        <c:ser>
          <c:idx val="3"/>
          <c:order val="3"/>
          <c:tx>
            <c:v>SJSU</c:v>
          </c:tx>
          <c:spPr>
            <a:solidFill>
              <a:srgbClr val="B0B0B0"/>
            </a:solidFill>
            <a:ln cmpd="sng">
              <a:solidFill>
                <a:srgbClr val="000000"/>
              </a:solidFill>
            </a:ln>
          </c:spPr>
          <c:cat>
            <c:strRef>
              <c:f>Charts!$M$42:$M$45</c:f>
            </c:strRef>
          </c:cat>
          <c:val>
            <c:numRef>
              <c:f>Charts!$Q$42:$Q$45</c:f>
              <c:numCache/>
            </c:numRef>
          </c:val>
        </c:ser>
        <c:axId val="549622501"/>
        <c:axId val="544250678"/>
      </c:barChart>
      <c:catAx>
        <c:axId val="5496225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MARR Scenario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4250678"/>
      </c:catAx>
      <c:valAx>
        <c:axId val="544250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Calibri"/>
                  </a:rPr>
                  <a:t>NPV ($)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49622501"/>
      </c:valAx>
    </c:plotArea>
    <c:legend>
      <c:legendPos val="b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Relationship Id="rId5" Type="http://schemas.openxmlformats.org/officeDocument/2006/relationships/chart" Target="../charts/chart7.xml"/><Relationship Id="rId6" Type="http://schemas.openxmlformats.org/officeDocument/2006/relationships/chart" Target="../charts/chart8.xml"/><Relationship Id="rId7" Type="http://schemas.openxmlformats.org/officeDocument/2006/relationships/chart" Target="../charts/chart9.xml"/><Relationship Id="rId8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95250</xdr:colOff>
      <xdr:row>1</xdr:row>
      <xdr:rowOff>38100</xdr:rowOff>
    </xdr:from>
    <xdr:ext cx="6410325" cy="8696325"/>
    <xdr:graphicFrame>
      <xdr:nvGraphicFramePr>
        <xdr:cNvPr id="73467521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561975</xdr:colOff>
      <xdr:row>1</xdr:row>
      <xdr:rowOff>0</xdr:rowOff>
    </xdr:from>
    <xdr:ext cx="6134100" cy="8686800"/>
    <xdr:graphicFrame>
      <xdr:nvGraphicFramePr>
        <xdr:cNvPr id="146105483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5</xdr:row>
      <xdr:rowOff>361950</xdr:rowOff>
    </xdr:from>
    <xdr:ext cx="5819775" cy="7210425"/>
    <xdr:graphicFrame>
      <xdr:nvGraphicFramePr>
        <xdr:cNvPr id="191530909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819150</xdr:colOff>
      <xdr:row>6</xdr:row>
      <xdr:rowOff>0</xdr:rowOff>
    </xdr:from>
    <xdr:ext cx="5905500" cy="7172325"/>
    <xdr:graphicFrame>
      <xdr:nvGraphicFramePr>
        <xdr:cNvPr id="1277819080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32</xdr:row>
      <xdr:rowOff>152400</xdr:rowOff>
    </xdr:from>
    <xdr:ext cx="5800725" cy="5972175"/>
    <xdr:graphicFrame>
      <xdr:nvGraphicFramePr>
        <xdr:cNvPr id="206000943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628650</xdr:colOff>
      <xdr:row>32</xdr:row>
      <xdr:rowOff>152400</xdr:rowOff>
    </xdr:from>
    <xdr:ext cx="5905500" cy="6000750"/>
    <xdr:graphicFrame>
      <xdr:nvGraphicFramePr>
        <xdr:cNvPr id="66531025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</xdr:col>
      <xdr:colOff>0</xdr:colOff>
      <xdr:row>54</xdr:row>
      <xdr:rowOff>9525</xdr:rowOff>
    </xdr:from>
    <xdr:ext cx="5819775" cy="5962650"/>
    <xdr:graphicFrame>
      <xdr:nvGraphicFramePr>
        <xdr:cNvPr id="1968532613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6</xdr:col>
      <xdr:colOff>857250</xdr:colOff>
      <xdr:row>54</xdr:row>
      <xdr:rowOff>0</xdr:rowOff>
    </xdr:from>
    <xdr:ext cx="5905500" cy="5991225"/>
    <xdr:graphicFrame>
      <xdr:nvGraphicFramePr>
        <xdr:cNvPr id="23342775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200025</xdr:colOff>
      <xdr:row>77</xdr:row>
      <xdr:rowOff>9525</xdr:rowOff>
    </xdr:from>
    <xdr:ext cx="5800725" cy="6200775"/>
    <xdr:graphicFrame>
      <xdr:nvGraphicFramePr>
        <xdr:cNvPr id="87029293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6</xdr:col>
      <xdr:colOff>819150</xdr:colOff>
      <xdr:row>77</xdr:row>
      <xdr:rowOff>9525</xdr:rowOff>
    </xdr:from>
    <xdr:ext cx="5905500" cy="6200775"/>
    <xdr:graphicFrame>
      <xdr:nvGraphicFramePr>
        <xdr:cNvPr id="89319770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4" width="36.0"/>
    <col customWidth="1" min="5" max="5" width="28.14"/>
    <col customWidth="1" min="6" max="6" width="53.29"/>
    <col customWidth="1" min="7" max="26" width="8.71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42.0" customHeight="1">
      <c r="A2" s="5" t="s">
        <v>1</v>
      </c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7.75" customHeight="1">
      <c r="A3" s="6"/>
      <c r="B3" s="2"/>
      <c r="C3" s="2"/>
      <c r="D3" s="2"/>
      <c r="E3" s="2"/>
      <c r="F3" s="3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58.5" customHeight="1">
      <c r="A4" s="7" t="s">
        <v>2</v>
      </c>
      <c r="B4" s="8" t="s">
        <v>3</v>
      </c>
      <c r="C4" s="8" t="s">
        <v>4</v>
      </c>
      <c r="D4" s="8" t="s">
        <v>5</v>
      </c>
      <c r="E4" s="9"/>
      <c r="F4" s="8" t="s">
        <v>6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5" t="s">
        <v>7</v>
      </c>
      <c r="B6" s="2"/>
      <c r="C6" s="2"/>
      <c r="D6" s="2"/>
      <c r="E6" s="2"/>
      <c r="F6" s="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8</v>
      </c>
      <c r="B7" s="11">
        <v>12.0</v>
      </c>
      <c r="C7" s="11">
        <v>6.0</v>
      </c>
      <c r="D7" s="11">
        <v>25.0</v>
      </c>
      <c r="E7" s="9"/>
      <c r="F7" s="11">
        <v>8.0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7" t="s">
        <v>9</v>
      </c>
      <c r="B8" s="12">
        <v>54080.0</v>
      </c>
      <c r="C8" s="12">
        <v>62400.0</v>
      </c>
      <c r="D8" s="12">
        <v>43470.0</v>
      </c>
      <c r="E8" s="9"/>
      <c r="F8" s="12">
        <v>62400.0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0" t="s">
        <v>10</v>
      </c>
      <c r="B9" s="11">
        <v>2080.0</v>
      </c>
      <c r="C9" s="11">
        <v>2080.0</v>
      </c>
      <c r="D9" s="11">
        <v>2080.0</v>
      </c>
      <c r="E9" s="9"/>
      <c r="F9" s="11">
        <v>2080.0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7" t="s">
        <v>11</v>
      </c>
      <c r="B10" s="13">
        <v>0.35</v>
      </c>
      <c r="C10" s="13">
        <v>0.35</v>
      </c>
      <c r="D10" s="13">
        <v>0.35</v>
      </c>
      <c r="E10" s="9"/>
      <c r="F10" s="13">
        <v>0.35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5" t="s">
        <v>12</v>
      </c>
      <c r="B12" s="2"/>
      <c r="C12" s="2"/>
      <c r="D12" s="2"/>
      <c r="E12" s="2"/>
      <c r="F12" s="3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7" t="s">
        <v>13</v>
      </c>
      <c r="B13" s="12">
        <v>85000.0</v>
      </c>
      <c r="C13" s="12">
        <v>65000.0</v>
      </c>
      <c r="D13" s="12">
        <v>120000.0</v>
      </c>
      <c r="E13" s="9"/>
      <c r="F13" s="12">
        <v>65000.0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10" t="s">
        <v>14</v>
      </c>
      <c r="B14" s="12">
        <v>10000.0</v>
      </c>
      <c r="C14" s="12">
        <v>8000.0</v>
      </c>
      <c r="D14" s="12">
        <v>15000.0</v>
      </c>
      <c r="E14" s="9"/>
      <c r="F14" s="12">
        <v>8000.0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5" t="s">
        <v>15</v>
      </c>
      <c r="B16" s="2"/>
      <c r="C16" s="2"/>
      <c r="D16" s="2"/>
      <c r="E16" s="2"/>
      <c r="F16" s="3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7" t="s">
        <v>16</v>
      </c>
      <c r="B17" s="12">
        <v>18000.0</v>
      </c>
      <c r="C17" s="12">
        <v>14400.0</v>
      </c>
      <c r="D17" s="12">
        <v>32400.0</v>
      </c>
      <c r="E17" s="9"/>
      <c r="F17" s="12">
        <v>12000.0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10" t="s">
        <v>17</v>
      </c>
      <c r="B18" s="12">
        <v>7000.0</v>
      </c>
      <c r="C18" s="12">
        <v>5500.0</v>
      </c>
      <c r="D18" s="12">
        <v>9000.0</v>
      </c>
      <c r="E18" s="9"/>
      <c r="F18" s="12">
        <v>5500.0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5" t="s">
        <v>18</v>
      </c>
      <c r="B20" s="2"/>
      <c r="C20" s="2"/>
      <c r="D20" s="2"/>
      <c r="E20" s="2"/>
      <c r="F20" s="3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10" t="s">
        <v>19</v>
      </c>
      <c r="B21" s="14">
        <v>0.03</v>
      </c>
      <c r="C21" s="14">
        <v>0.03</v>
      </c>
      <c r="D21" s="14">
        <v>0.03</v>
      </c>
      <c r="E21" s="9"/>
      <c r="F21" s="14">
        <v>0.03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10" t="s">
        <v>20</v>
      </c>
      <c r="B22" s="14">
        <v>0.04</v>
      </c>
      <c r="C22" s="14">
        <v>0.04</v>
      </c>
      <c r="D22" s="14">
        <v>0.04</v>
      </c>
      <c r="E22" s="9"/>
      <c r="F22" s="14">
        <v>0.04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10" t="s">
        <v>21</v>
      </c>
      <c r="B23" s="11">
        <v>5.0</v>
      </c>
      <c r="C23" s="11">
        <v>5.0</v>
      </c>
      <c r="D23" s="11">
        <v>5.0</v>
      </c>
      <c r="E23" s="9"/>
      <c r="F23" s="11">
        <v>5.0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7" t="s">
        <v>22</v>
      </c>
      <c r="B24" s="14">
        <v>0.08</v>
      </c>
      <c r="C24" s="14">
        <v>0.08</v>
      </c>
      <c r="D24" s="14">
        <v>0.08</v>
      </c>
      <c r="E24" s="9"/>
      <c r="F24" s="14">
        <v>0.08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5" t="s">
        <v>23</v>
      </c>
      <c r="B26" s="2"/>
      <c r="C26" s="2"/>
      <c r="D26" s="2"/>
      <c r="E26" s="2"/>
      <c r="F26" s="3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7" t="s">
        <v>24</v>
      </c>
      <c r="B27" s="12">
        <f t="shared" ref="B27:D27" si="1">B7*B8</f>
        <v>648960</v>
      </c>
      <c r="C27" s="12">
        <f t="shared" si="1"/>
        <v>374400</v>
      </c>
      <c r="D27" s="12">
        <f t="shared" si="1"/>
        <v>1086750</v>
      </c>
      <c r="E27" s="9"/>
      <c r="F27" s="12">
        <f>F7*F8</f>
        <v>499200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7" t="s">
        <v>25</v>
      </c>
      <c r="B28" s="12">
        <f t="shared" ref="B28:D28" si="2">B27*B10</f>
        <v>227136</v>
      </c>
      <c r="C28" s="12">
        <f t="shared" si="2"/>
        <v>131040</v>
      </c>
      <c r="D28" s="12">
        <f t="shared" si="2"/>
        <v>380362.5</v>
      </c>
      <c r="E28" s="9"/>
      <c r="F28" s="12">
        <f>F27*F10</f>
        <v>174720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7" t="s">
        <v>26</v>
      </c>
      <c r="B29" s="12">
        <f t="shared" ref="B29:D29" si="3">B13+B14</f>
        <v>95000</v>
      </c>
      <c r="C29" s="12">
        <f t="shared" si="3"/>
        <v>73000</v>
      </c>
      <c r="D29" s="12">
        <f t="shared" si="3"/>
        <v>135000</v>
      </c>
      <c r="E29" s="9"/>
      <c r="F29" s="12">
        <f>F13+F14</f>
        <v>73000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7" t="s">
        <v>27</v>
      </c>
      <c r="B30" s="12">
        <f t="shared" ref="B30:D30" si="4">B28-B17-B18</f>
        <v>202136</v>
      </c>
      <c r="C30" s="12">
        <f t="shared" si="4"/>
        <v>111140</v>
      </c>
      <c r="D30" s="12">
        <f t="shared" si="4"/>
        <v>338962.5</v>
      </c>
      <c r="E30" s="9"/>
      <c r="F30" s="12">
        <f>F28-F17-F18</f>
        <v>157220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15"/>
      <c r="B32" s="16"/>
      <c r="C32" s="16"/>
      <c r="D32" s="16"/>
      <c r="E32" s="16"/>
      <c r="F32" s="1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30.0" customHeight="1">
      <c r="A33" s="18"/>
      <c r="B33" s="19"/>
      <c r="C33" s="19"/>
      <c r="D33" s="19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30.0" customHeight="1">
      <c r="A34" s="18"/>
      <c r="B34" s="20"/>
      <c r="C34" s="20"/>
      <c r="D34" s="20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30.0" customHeight="1">
      <c r="A35" s="18"/>
      <c r="B35" s="20"/>
      <c r="C35" s="20"/>
      <c r="D35" s="20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30.0" customHeight="1">
      <c r="A36" s="18"/>
      <c r="B36" s="20"/>
      <c r="C36" s="20"/>
      <c r="D36" s="2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30.0" customHeight="1">
      <c r="A37" s="18"/>
      <c r="B37" s="20"/>
      <c r="C37" s="20"/>
      <c r="D37" s="20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30.0" customHeight="1">
      <c r="A38" s="18"/>
      <c r="B38" s="20"/>
      <c r="C38" s="20"/>
      <c r="D38" s="20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30.0" customHeight="1">
      <c r="A39" s="18"/>
      <c r="B39" s="20"/>
      <c r="C39" s="20"/>
      <c r="D39" s="20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30.0" customHeight="1">
      <c r="A40" s="18"/>
      <c r="B40" s="20"/>
      <c r="C40" s="20"/>
      <c r="D40" s="20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30.0" customHeight="1">
      <c r="A41" s="18"/>
      <c r="B41" s="20"/>
      <c r="C41" s="20"/>
      <c r="D41" s="20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30.0" customHeight="1">
      <c r="A42" s="18"/>
      <c r="B42" s="20"/>
      <c r="C42" s="20"/>
      <c r="D42" s="20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30.0" customHeight="1">
      <c r="A43" s="18"/>
      <c r="B43" s="20"/>
      <c r="C43" s="20"/>
      <c r="D43" s="20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30.0" customHeight="1">
      <c r="A44" s="18"/>
      <c r="B44" s="20"/>
      <c r="C44" s="20"/>
      <c r="D44" s="20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9">
    <mergeCell ref="A26:F26"/>
    <mergeCell ref="A32:F32"/>
    <mergeCell ref="A1:F1"/>
    <mergeCell ref="A2:F2"/>
    <mergeCell ref="A3:F3"/>
    <mergeCell ref="A6:F6"/>
    <mergeCell ref="A12:F12"/>
    <mergeCell ref="A16:F16"/>
    <mergeCell ref="A20:F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45.43"/>
  </cols>
  <sheetData>
    <row r="1" ht="42.0" customHeight="1">
      <c r="A1" s="5" t="s">
        <v>28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6"/>
      <c r="B2" s="2"/>
      <c r="C2" s="2"/>
      <c r="D2" s="2"/>
      <c r="E2" s="2"/>
      <c r="F2" s="2"/>
      <c r="G2" s="2"/>
      <c r="H2" s="2"/>
      <c r="I2" s="3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5" t="s">
        <v>3</v>
      </c>
      <c r="B3" s="2"/>
      <c r="C3" s="2"/>
      <c r="D3" s="2"/>
      <c r="E3" s="2"/>
      <c r="F3" s="2"/>
      <c r="G3" s="2"/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8" t="s">
        <v>29</v>
      </c>
      <c r="B4" s="8" t="s">
        <v>30</v>
      </c>
      <c r="C4" s="8" t="s">
        <v>31</v>
      </c>
      <c r="D4" s="8" t="s">
        <v>32</v>
      </c>
      <c r="E4" s="8" t="s">
        <v>33</v>
      </c>
      <c r="F4" s="8" t="s">
        <v>34</v>
      </c>
      <c r="G4" s="8" t="s">
        <v>35</v>
      </c>
      <c r="H4" s="8" t="s">
        <v>36</v>
      </c>
      <c r="I4" s="8" t="s">
        <v>37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0" t="s">
        <v>3</v>
      </c>
      <c r="B5" s="10">
        <v>0.0</v>
      </c>
      <c r="C5" s="21">
        <v>0.0</v>
      </c>
      <c r="D5" s="21">
        <v>0.0</v>
      </c>
      <c r="E5" s="21">
        <v>0.0</v>
      </c>
      <c r="F5" s="21">
        <f>-(Inputs!B13+Inputs!B14)</f>
        <v>-95000</v>
      </c>
      <c r="G5" s="22">
        <v>1.0</v>
      </c>
      <c r="H5" s="21">
        <f t="shared" ref="H5:H10" si="1">F5*G5</f>
        <v>-95000</v>
      </c>
      <c r="I5" s="21">
        <f>H5</f>
        <v>-95000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23"/>
      <c r="B6" s="10">
        <v>1.0</v>
      </c>
      <c r="C6" s="12">
        <f>Inputs!B7*Inputs!B8*Inputs!B10</f>
        <v>227136</v>
      </c>
      <c r="D6" s="12">
        <f>Inputs!B17</f>
        <v>18000</v>
      </c>
      <c r="E6" s="12">
        <f>Inputs!B18</f>
        <v>7000</v>
      </c>
      <c r="F6" s="21">
        <f t="shared" ref="F6:F10" si="2">C6-D6-E6</f>
        <v>202136</v>
      </c>
      <c r="G6" s="22">
        <f>1/(1+Inputs!B24)^B6</f>
        <v>0.9259259259</v>
      </c>
      <c r="H6" s="21">
        <f t="shared" si="1"/>
        <v>187162.963</v>
      </c>
      <c r="I6" s="21">
        <f t="shared" ref="I6:I10" si="3">I5+H6</f>
        <v>92162.96296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23"/>
      <c r="B7" s="10">
        <v>2.0</v>
      </c>
      <c r="C7" s="12">
        <f>C6*(1+Inputs!B21)</f>
        <v>233950.08</v>
      </c>
      <c r="D7" s="12">
        <f>D6*(1+Inputs!B22)</f>
        <v>18720</v>
      </c>
      <c r="E7" s="12">
        <f>E6*(1+Inputs!B22)</f>
        <v>7280</v>
      </c>
      <c r="F7" s="21">
        <f t="shared" si="2"/>
        <v>207950.08</v>
      </c>
      <c r="G7" s="22">
        <f>1/(1+Inputs!B24)^B7</f>
        <v>0.8573388203</v>
      </c>
      <c r="H7" s="21">
        <f t="shared" si="1"/>
        <v>178283.6763</v>
      </c>
      <c r="I7" s="21">
        <f t="shared" si="3"/>
        <v>270446.6392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23"/>
      <c r="B8" s="10">
        <v>3.0</v>
      </c>
      <c r="C8" s="12">
        <f>C7*(1+Inputs!B21)</f>
        <v>240968.5824</v>
      </c>
      <c r="D8" s="12">
        <f>D7*(1+Inputs!B22)</f>
        <v>19468.8</v>
      </c>
      <c r="E8" s="12">
        <f>E7*(1+Inputs!B22)</f>
        <v>7571.2</v>
      </c>
      <c r="F8" s="21">
        <f t="shared" si="2"/>
        <v>213928.5824</v>
      </c>
      <c r="G8" s="22">
        <f>1/(1+Inputs!B24)^B8</f>
        <v>0.793832241</v>
      </c>
      <c r="H8" s="21">
        <f t="shared" si="1"/>
        <v>169823.406</v>
      </c>
      <c r="I8" s="21">
        <f t="shared" si="3"/>
        <v>440270.0452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23"/>
      <c r="B9" s="10">
        <v>4.0</v>
      </c>
      <c r="C9" s="12">
        <f>C8*(1+Inputs!B21)</f>
        <v>248197.6399</v>
      </c>
      <c r="D9" s="12">
        <f>D8*(1+Inputs!B22)</f>
        <v>20247.552</v>
      </c>
      <c r="E9" s="12">
        <f>E8*(1+Inputs!B22)</f>
        <v>7874.048</v>
      </c>
      <c r="F9" s="21">
        <f t="shared" si="2"/>
        <v>220076.0399</v>
      </c>
      <c r="G9" s="22">
        <f>1/(1+Inputs!B24)^B9</f>
        <v>0.7350298528</v>
      </c>
      <c r="H9" s="21">
        <f t="shared" si="1"/>
        <v>161762.4592</v>
      </c>
      <c r="I9" s="21">
        <f t="shared" si="3"/>
        <v>602032.5044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23"/>
      <c r="B10" s="10">
        <v>5.0</v>
      </c>
      <c r="C10" s="12">
        <f>C9*(1+Inputs!B21)</f>
        <v>255643.5691</v>
      </c>
      <c r="D10" s="12">
        <f>D9*(1+Inputs!B22)</f>
        <v>21057.45408</v>
      </c>
      <c r="E10" s="12">
        <f>E9*(1+Inputs!B22)</f>
        <v>8189.00992</v>
      </c>
      <c r="F10" s="21">
        <f t="shared" si="2"/>
        <v>226397.1051</v>
      </c>
      <c r="G10" s="22">
        <f>1/(1+Inputs!B24)^B10</f>
        <v>0.680583197</v>
      </c>
      <c r="H10" s="21">
        <f t="shared" si="1"/>
        <v>154082.0656</v>
      </c>
      <c r="I10" s="21">
        <f t="shared" si="3"/>
        <v>756114.57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38</v>
      </c>
      <c r="B11" s="24"/>
      <c r="C11" s="25">
        <f t="shared" ref="C11:I11" si="4">SUM(C5:C10)</f>
        <v>1205895.871</v>
      </c>
      <c r="D11" s="25">
        <f t="shared" si="4"/>
        <v>97493.80608</v>
      </c>
      <c r="E11" s="25">
        <f t="shared" si="4"/>
        <v>37914.25792</v>
      </c>
      <c r="F11" s="25">
        <f t="shared" si="4"/>
        <v>975487.8073</v>
      </c>
      <c r="G11" s="25">
        <f t="shared" si="4"/>
        <v>4.992710037</v>
      </c>
      <c r="H11" s="25">
        <f t="shared" si="4"/>
        <v>756114.57</v>
      </c>
      <c r="I11" s="25">
        <f t="shared" si="4"/>
        <v>2066026.722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5" t="s">
        <v>4</v>
      </c>
      <c r="B13" s="2"/>
      <c r="C13" s="2"/>
      <c r="D13" s="2"/>
      <c r="E13" s="2"/>
      <c r="F13" s="2"/>
      <c r="G13" s="2"/>
      <c r="H13" s="2"/>
      <c r="I13" s="3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8" t="s">
        <v>29</v>
      </c>
      <c r="B14" s="8" t="s">
        <v>30</v>
      </c>
      <c r="C14" s="8" t="s">
        <v>31</v>
      </c>
      <c r="D14" s="8" t="s">
        <v>32</v>
      </c>
      <c r="E14" s="8" t="s">
        <v>33</v>
      </c>
      <c r="F14" s="8" t="s">
        <v>34</v>
      </c>
      <c r="G14" s="8" t="s">
        <v>35</v>
      </c>
      <c r="H14" s="8" t="s">
        <v>36</v>
      </c>
      <c r="I14" s="8" t="s">
        <v>37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0" t="s">
        <v>4</v>
      </c>
      <c r="B15" s="10">
        <v>0.0</v>
      </c>
      <c r="C15" s="21">
        <v>0.0</v>
      </c>
      <c r="D15" s="21">
        <v>0.0</v>
      </c>
      <c r="E15" s="21">
        <v>0.0</v>
      </c>
      <c r="F15" s="21">
        <f>-(Inputs!C13+Inputs!C14)</f>
        <v>-73000</v>
      </c>
      <c r="G15" s="22">
        <v>1.0</v>
      </c>
      <c r="H15" s="21">
        <f t="shared" ref="H15:H20" si="5">F15*G15</f>
        <v>-73000</v>
      </c>
      <c r="I15" s="21">
        <f>H15</f>
        <v>-73000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23"/>
      <c r="B16" s="10">
        <v>1.0</v>
      </c>
      <c r="C16" s="12">
        <f>Inputs!C7*Inputs!C8*Inputs!C10</f>
        <v>131040</v>
      </c>
      <c r="D16" s="12">
        <f>Inputs!C17</f>
        <v>14400</v>
      </c>
      <c r="E16" s="12">
        <f>Inputs!C18</f>
        <v>5500</v>
      </c>
      <c r="F16" s="21">
        <f t="shared" ref="F16:F20" si="6">C16-D16-E16</f>
        <v>111140</v>
      </c>
      <c r="G16" s="22">
        <f>1/(1+Inputs!C24)^B16</f>
        <v>0.9259259259</v>
      </c>
      <c r="H16" s="21">
        <f t="shared" si="5"/>
        <v>102907.4074</v>
      </c>
      <c r="I16" s="21">
        <f t="shared" ref="I16:I20" si="7">I15+H16</f>
        <v>29907.40741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23"/>
      <c r="B17" s="10">
        <v>2.0</v>
      </c>
      <c r="C17" s="12">
        <f>C16*(1+Inputs!C21)</f>
        <v>134971.2</v>
      </c>
      <c r="D17" s="12">
        <f>D16*(1+Inputs!C22)</f>
        <v>14976</v>
      </c>
      <c r="E17" s="12">
        <f>E16*(1+Inputs!C22)</f>
        <v>5720</v>
      </c>
      <c r="F17" s="21">
        <f t="shared" si="6"/>
        <v>114275.2</v>
      </c>
      <c r="G17" s="22">
        <f>1/(1+Inputs!C24)^B17</f>
        <v>0.8573388203</v>
      </c>
      <c r="H17" s="21">
        <f t="shared" si="5"/>
        <v>97972.56516</v>
      </c>
      <c r="I17" s="21">
        <f t="shared" si="7"/>
        <v>127879.9726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23"/>
      <c r="B18" s="10">
        <v>3.0</v>
      </c>
      <c r="C18" s="12">
        <f>C17*(1+Inputs!C21)</f>
        <v>139020.336</v>
      </c>
      <c r="D18" s="12">
        <f>D17*(1+Inputs!C22)</f>
        <v>15575.04</v>
      </c>
      <c r="E18" s="12">
        <f>E17*(1+Inputs!C22)</f>
        <v>5948.8</v>
      </c>
      <c r="F18" s="21">
        <f t="shared" si="6"/>
        <v>117496.496</v>
      </c>
      <c r="G18" s="22">
        <f>1/(1+Inputs!C24)^B18</f>
        <v>0.793832241</v>
      </c>
      <c r="H18" s="21">
        <f t="shared" si="5"/>
        <v>93272.50673</v>
      </c>
      <c r="I18" s="21">
        <f t="shared" si="7"/>
        <v>221152.4793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23"/>
      <c r="B19" s="10">
        <v>4.0</v>
      </c>
      <c r="C19" s="12">
        <f>C18*(1+Inputs!C21)</f>
        <v>143190.9461</v>
      </c>
      <c r="D19" s="12">
        <f>D18*(1+Inputs!C22)</f>
        <v>16198.0416</v>
      </c>
      <c r="E19" s="12">
        <f>E18*(1+Inputs!C22)</f>
        <v>6186.752</v>
      </c>
      <c r="F19" s="21">
        <f t="shared" si="6"/>
        <v>120806.1525</v>
      </c>
      <c r="G19" s="22">
        <f>1/(1+Inputs!C24)^B19</f>
        <v>0.7350298528</v>
      </c>
      <c r="H19" s="21">
        <f t="shared" si="5"/>
        <v>88796.12847</v>
      </c>
      <c r="I19" s="21">
        <f t="shared" si="7"/>
        <v>309948.6078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23"/>
      <c r="B20" s="10">
        <v>5.0</v>
      </c>
      <c r="C20" s="12">
        <f>C19*(1+Inputs!C21)</f>
        <v>147486.6745</v>
      </c>
      <c r="D20" s="12">
        <f>D19*(1+Inputs!C22)</f>
        <v>16845.96326</v>
      </c>
      <c r="E20" s="12">
        <f>E19*(1+Inputs!C22)</f>
        <v>6434.22208</v>
      </c>
      <c r="F20" s="21">
        <f t="shared" si="6"/>
        <v>124206.4891</v>
      </c>
      <c r="G20" s="22">
        <f>1/(1+Inputs!C24)^B20</f>
        <v>0.680583197</v>
      </c>
      <c r="H20" s="21">
        <f t="shared" si="5"/>
        <v>84532.84946</v>
      </c>
      <c r="I20" s="21">
        <f t="shared" si="7"/>
        <v>394481.4572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7" t="s">
        <v>38</v>
      </c>
      <c r="B21" s="24"/>
      <c r="C21" s="25">
        <f t="shared" ref="C21:I21" si="8">SUM(C15:C20)</f>
        <v>695709.1565</v>
      </c>
      <c r="D21" s="25">
        <f t="shared" si="8"/>
        <v>77995.04486</v>
      </c>
      <c r="E21" s="25">
        <f t="shared" si="8"/>
        <v>29789.77408</v>
      </c>
      <c r="F21" s="25">
        <f t="shared" si="8"/>
        <v>514924.3376</v>
      </c>
      <c r="G21" s="25">
        <f t="shared" si="8"/>
        <v>4.992710037</v>
      </c>
      <c r="H21" s="25">
        <f t="shared" si="8"/>
        <v>394481.4572</v>
      </c>
      <c r="I21" s="25">
        <f t="shared" si="8"/>
        <v>1010369.924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0" customHeight="1">
      <c r="A23" s="5" t="s">
        <v>5</v>
      </c>
      <c r="B23" s="2"/>
      <c r="C23" s="2"/>
      <c r="D23" s="2"/>
      <c r="E23" s="2"/>
      <c r="F23" s="2"/>
      <c r="G23" s="2"/>
      <c r="H23" s="2"/>
      <c r="I23" s="3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0" customHeight="1">
      <c r="A24" s="8" t="s">
        <v>29</v>
      </c>
      <c r="B24" s="8" t="s">
        <v>30</v>
      </c>
      <c r="C24" s="8" t="s">
        <v>31</v>
      </c>
      <c r="D24" s="8" t="s">
        <v>32</v>
      </c>
      <c r="E24" s="8" t="s">
        <v>33</v>
      </c>
      <c r="F24" s="8" t="s">
        <v>34</v>
      </c>
      <c r="G24" s="8" t="s">
        <v>35</v>
      </c>
      <c r="H24" s="8" t="s">
        <v>36</v>
      </c>
      <c r="I24" s="8" t="s">
        <v>37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0" customHeight="1">
      <c r="A25" s="10" t="s">
        <v>5</v>
      </c>
      <c r="B25" s="10">
        <v>0.0</v>
      </c>
      <c r="C25" s="21">
        <v>0.0</v>
      </c>
      <c r="D25" s="21">
        <v>0.0</v>
      </c>
      <c r="E25" s="21">
        <v>0.0</v>
      </c>
      <c r="F25" s="21">
        <f>-(Inputs!D13+Inputs!D14)</f>
        <v>-135000</v>
      </c>
      <c r="G25" s="22">
        <v>1.0</v>
      </c>
      <c r="H25" s="21">
        <f t="shared" ref="H25:H30" si="9">F25*G25</f>
        <v>-135000</v>
      </c>
      <c r="I25" s="21">
        <f>H25</f>
        <v>-135000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0" customHeight="1">
      <c r="A26" s="23"/>
      <c r="B26" s="10">
        <v>1.0</v>
      </c>
      <c r="C26" s="12">
        <f>Inputs!D7*Inputs!D8*Inputs!D10</f>
        <v>380362.5</v>
      </c>
      <c r="D26" s="12">
        <f>Inputs!D17</f>
        <v>32400</v>
      </c>
      <c r="E26" s="12">
        <f>Inputs!D18</f>
        <v>9000</v>
      </c>
      <c r="F26" s="21">
        <f t="shared" ref="F26:F30" si="10">C26-D26-E26</f>
        <v>338962.5</v>
      </c>
      <c r="G26" s="22">
        <f>1/(1+Inputs!D24)^B26</f>
        <v>0.9259259259</v>
      </c>
      <c r="H26" s="21">
        <f t="shared" si="9"/>
        <v>313854.1667</v>
      </c>
      <c r="I26" s="21">
        <f t="shared" ref="I26:I30" si="11">I25+H26</f>
        <v>178854.1667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0" customHeight="1">
      <c r="A27" s="23"/>
      <c r="B27" s="10">
        <v>2.0</v>
      </c>
      <c r="C27" s="12">
        <f>C26*(1+Inputs!D21)</f>
        <v>391773.375</v>
      </c>
      <c r="D27" s="12">
        <f>D26*(1+Inputs!D22)</f>
        <v>33696</v>
      </c>
      <c r="E27" s="12">
        <f>E26*(1+Inputs!D22)</f>
        <v>9360</v>
      </c>
      <c r="F27" s="21">
        <f t="shared" si="10"/>
        <v>348717.375</v>
      </c>
      <c r="G27" s="22">
        <f>1/(1+Inputs!D24)^B27</f>
        <v>0.8573388203</v>
      </c>
      <c r="H27" s="21">
        <f t="shared" si="9"/>
        <v>298968.9429</v>
      </c>
      <c r="I27" s="21">
        <f t="shared" si="11"/>
        <v>477823.1096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0" customHeight="1">
      <c r="A28" s="23"/>
      <c r="B28" s="10">
        <v>3.0</v>
      </c>
      <c r="C28" s="12">
        <f>C27*(1+Inputs!D21)</f>
        <v>403526.5763</v>
      </c>
      <c r="D28" s="12">
        <f>D27*(1+Inputs!D22)</f>
        <v>35043.84</v>
      </c>
      <c r="E28" s="12">
        <f>E27*(1+Inputs!D22)</f>
        <v>9734.4</v>
      </c>
      <c r="F28" s="21">
        <f t="shared" si="10"/>
        <v>358748.3363</v>
      </c>
      <c r="G28" s="22">
        <f>1/(1+Inputs!D24)^B28</f>
        <v>0.793832241</v>
      </c>
      <c r="H28" s="21">
        <f t="shared" si="9"/>
        <v>284785.9957</v>
      </c>
      <c r="I28" s="21">
        <f t="shared" si="11"/>
        <v>762609.1053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0" customHeight="1">
      <c r="A29" s="23"/>
      <c r="B29" s="10">
        <v>4.0</v>
      </c>
      <c r="C29" s="12">
        <f>C28*(1+Inputs!D21)</f>
        <v>415632.3735</v>
      </c>
      <c r="D29" s="12">
        <f>D28*(1+Inputs!D22)</f>
        <v>36445.5936</v>
      </c>
      <c r="E29" s="12">
        <f>E28*(1+Inputs!D22)</f>
        <v>10123.776</v>
      </c>
      <c r="F29" s="21">
        <f t="shared" si="10"/>
        <v>369063.0039</v>
      </c>
      <c r="G29" s="22">
        <f>1/(1+Inputs!D24)^B29</f>
        <v>0.7350298528</v>
      </c>
      <c r="H29" s="21">
        <f t="shared" si="9"/>
        <v>271272.3255</v>
      </c>
      <c r="I29" s="21">
        <f t="shared" si="11"/>
        <v>1033881.431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0.0" customHeight="1">
      <c r="A30" s="23"/>
      <c r="B30" s="10">
        <v>5.0</v>
      </c>
      <c r="C30" s="12">
        <f>C29*(1+Inputs!D21)</f>
        <v>428101.3447</v>
      </c>
      <c r="D30" s="12">
        <f>D29*(1+Inputs!D22)</f>
        <v>37903.41734</v>
      </c>
      <c r="E30" s="12">
        <f>E29*(1+Inputs!D22)</f>
        <v>10528.72704</v>
      </c>
      <c r="F30" s="21">
        <f t="shared" si="10"/>
        <v>379669.2004</v>
      </c>
      <c r="G30" s="22">
        <f>1/(1+Inputs!D24)^B30</f>
        <v>0.680583197</v>
      </c>
      <c r="H30" s="21">
        <f t="shared" si="9"/>
        <v>258396.4782</v>
      </c>
      <c r="I30" s="21">
        <f t="shared" si="11"/>
        <v>1292277.909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0.0" customHeight="1">
      <c r="A31" s="7" t="s">
        <v>38</v>
      </c>
      <c r="B31" s="24"/>
      <c r="C31" s="25">
        <f t="shared" ref="C31:I31" si="12">SUM(C25:C30)</f>
        <v>2019396.17</v>
      </c>
      <c r="D31" s="25">
        <f t="shared" si="12"/>
        <v>175488.8509</v>
      </c>
      <c r="E31" s="25">
        <f t="shared" si="12"/>
        <v>48746.90304</v>
      </c>
      <c r="F31" s="25">
        <f t="shared" si="12"/>
        <v>1660160.416</v>
      </c>
      <c r="G31" s="25">
        <f t="shared" si="12"/>
        <v>4.992710037</v>
      </c>
      <c r="H31" s="25">
        <f t="shared" si="12"/>
        <v>1292277.909</v>
      </c>
      <c r="I31" s="25">
        <f t="shared" si="12"/>
        <v>3610445.721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0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0.0" customHeight="1">
      <c r="A33" s="5" t="s">
        <v>39</v>
      </c>
      <c r="B33" s="2"/>
      <c r="C33" s="2"/>
      <c r="D33" s="2"/>
      <c r="E33" s="2"/>
      <c r="F33" s="2"/>
      <c r="G33" s="2"/>
      <c r="H33" s="2"/>
      <c r="I33" s="3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0.0" customHeight="1">
      <c r="A34" s="8" t="s">
        <v>29</v>
      </c>
      <c r="B34" s="8" t="s">
        <v>30</v>
      </c>
      <c r="C34" s="8" t="s">
        <v>31</v>
      </c>
      <c r="D34" s="8" t="s">
        <v>32</v>
      </c>
      <c r="E34" s="8" t="s">
        <v>33</v>
      </c>
      <c r="F34" s="8" t="s">
        <v>34</v>
      </c>
      <c r="G34" s="8" t="s">
        <v>35</v>
      </c>
      <c r="H34" s="8" t="s">
        <v>36</v>
      </c>
      <c r="I34" s="8" t="s">
        <v>37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0.0" customHeight="1">
      <c r="A35" s="10" t="s">
        <v>40</v>
      </c>
      <c r="B35" s="10">
        <v>0.0</v>
      </c>
      <c r="C35" s="21">
        <v>0.0</v>
      </c>
      <c r="D35" s="21">
        <v>0.0</v>
      </c>
      <c r="E35" s="21">
        <v>0.0</v>
      </c>
      <c r="F35" s="21">
        <f>-(Inputs!F13+Inputs!F14)</f>
        <v>-73000</v>
      </c>
      <c r="G35" s="22">
        <v>1.0</v>
      </c>
      <c r="H35" s="21">
        <f t="shared" ref="H35:H40" si="13">F35*G35</f>
        <v>-73000</v>
      </c>
      <c r="I35" s="21">
        <f>H35</f>
        <v>-73000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0.0" customHeight="1">
      <c r="A36" s="23"/>
      <c r="B36" s="10">
        <v>1.0</v>
      </c>
      <c r="C36" s="12">
        <f>Inputs!F7*Inputs!F8*Inputs!F10</f>
        <v>174720</v>
      </c>
      <c r="D36" s="12">
        <f>Inputs!F17</f>
        <v>12000</v>
      </c>
      <c r="E36" s="12">
        <f>Inputs!F18</f>
        <v>5500</v>
      </c>
      <c r="F36" s="21">
        <f t="shared" ref="F36:F40" si="14">C36-D36-E36</f>
        <v>157220</v>
      </c>
      <c r="G36" s="22">
        <f>1/(1+Inputs!F24)^B36</f>
        <v>0.9259259259</v>
      </c>
      <c r="H36" s="21">
        <f t="shared" si="13"/>
        <v>145574.0741</v>
      </c>
      <c r="I36" s="21">
        <f t="shared" ref="I36:I40" si="15">I35+H36</f>
        <v>72574.07407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0.0" customHeight="1">
      <c r="A37" s="23"/>
      <c r="B37" s="10">
        <v>2.0</v>
      </c>
      <c r="C37" s="12">
        <f>C36*(1+Inputs!F21)</f>
        <v>179961.6</v>
      </c>
      <c r="D37" s="12">
        <f>D36*(1+Inputs!F22)</f>
        <v>12480</v>
      </c>
      <c r="E37" s="12">
        <f>E36*(1+Inputs!F22)</f>
        <v>5720</v>
      </c>
      <c r="F37" s="21">
        <f t="shared" si="14"/>
        <v>161761.6</v>
      </c>
      <c r="G37" s="22">
        <f>1/(1+Inputs!F24)^B37</f>
        <v>0.8573388203</v>
      </c>
      <c r="H37" s="21">
        <f t="shared" si="13"/>
        <v>138684.4993</v>
      </c>
      <c r="I37" s="21">
        <f t="shared" si="15"/>
        <v>211258.5734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0.0" customHeight="1">
      <c r="A38" s="23"/>
      <c r="B38" s="10">
        <v>3.0</v>
      </c>
      <c r="C38" s="12">
        <f>C37*(1+Inputs!F21)</f>
        <v>185360.448</v>
      </c>
      <c r="D38" s="12">
        <f>D37*(1+Inputs!F22)</f>
        <v>12979.2</v>
      </c>
      <c r="E38" s="12">
        <f>E37*(1+Inputs!F22)</f>
        <v>5948.8</v>
      </c>
      <c r="F38" s="21">
        <f t="shared" si="14"/>
        <v>166432.448</v>
      </c>
      <c r="G38" s="22">
        <f>1/(1+Inputs!F24)^B38</f>
        <v>0.793832241</v>
      </c>
      <c r="H38" s="21">
        <f t="shared" si="13"/>
        <v>132119.4432</v>
      </c>
      <c r="I38" s="21">
        <f t="shared" si="15"/>
        <v>343378.0166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0.0" customHeight="1">
      <c r="A39" s="23"/>
      <c r="B39" s="10">
        <v>4.0</v>
      </c>
      <c r="C39" s="12">
        <f>C38*(1+Inputs!F21)</f>
        <v>190921.2614</v>
      </c>
      <c r="D39" s="12">
        <f>D38*(1+Inputs!F22)</f>
        <v>13498.368</v>
      </c>
      <c r="E39" s="12">
        <f>E38*(1+Inputs!F22)</f>
        <v>6186.752</v>
      </c>
      <c r="F39" s="21">
        <f t="shared" si="14"/>
        <v>171236.1414</v>
      </c>
      <c r="G39" s="22">
        <f>1/(1+Inputs!F24)^B39</f>
        <v>0.7350298528</v>
      </c>
      <c r="H39" s="21">
        <f t="shared" si="13"/>
        <v>125863.6758</v>
      </c>
      <c r="I39" s="21">
        <f t="shared" si="15"/>
        <v>469241.6924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0.0" customHeight="1">
      <c r="A40" s="23"/>
      <c r="B40" s="10">
        <v>5.0</v>
      </c>
      <c r="C40" s="12">
        <f>C39*(1+Inputs!F21)</f>
        <v>196648.8993</v>
      </c>
      <c r="D40" s="12">
        <f>D39*(1+Inputs!F22)</f>
        <v>14038.30272</v>
      </c>
      <c r="E40" s="12">
        <f>E39*(1+Inputs!F22)</f>
        <v>6434.22208</v>
      </c>
      <c r="F40" s="21">
        <f t="shared" si="14"/>
        <v>176176.3745</v>
      </c>
      <c r="G40" s="22">
        <f>1/(1+Inputs!F24)^B40</f>
        <v>0.680583197</v>
      </c>
      <c r="H40" s="21">
        <f t="shared" si="13"/>
        <v>119902.6802</v>
      </c>
      <c r="I40" s="21">
        <f t="shared" si="15"/>
        <v>589144.3726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0.0" customHeight="1">
      <c r="A41" s="7" t="s">
        <v>38</v>
      </c>
      <c r="B41" s="24"/>
      <c r="C41" s="25">
        <f t="shared" ref="C41:I41" si="16">SUM(C35:C40)</f>
        <v>927612.2087</v>
      </c>
      <c r="D41" s="25">
        <f t="shared" si="16"/>
        <v>64995.87072</v>
      </c>
      <c r="E41" s="25">
        <f t="shared" si="16"/>
        <v>29789.77408</v>
      </c>
      <c r="F41" s="25">
        <f t="shared" si="16"/>
        <v>759826.5639</v>
      </c>
      <c r="G41" s="25">
        <f t="shared" si="16"/>
        <v>4.992710037</v>
      </c>
      <c r="H41" s="25">
        <f t="shared" si="16"/>
        <v>589144.3726</v>
      </c>
      <c r="I41" s="25">
        <f t="shared" si="16"/>
        <v>1612596.729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6">
    <mergeCell ref="A1:I1"/>
    <mergeCell ref="A2:I2"/>
    <mergeCell ref="A3:I3"/>
    <mergeCell ref="A13:I13"/>
    <mergeCell ref="A23:I23"/>
    <mergeCell ref="A33:I33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8.0"/>
    <col customWidth="1" min="2" max="2" width="34.86"/>
    <col customWidth="1" min="3" max="3" width="35.71"/>
    <col customWidth="1" min="4" max="4" width="34.43"/>
    <col customWidth="1" min="5" max="5" width="28.71"/>
    <col customWidth="1" min="6" max="6" width="48.29"/>
    <col customWidth="1" min="7" max="26" width="8.71"/>
  </cols>
  <sheetData>
    <row r="1" ht="42.0" customHeight="1">
      <c r="A1" s="26" t="s">
        <v>41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7.75" customHeight="1">
      <c r="A2" s="6"/>
      <c r="B2" s="2"/>
      <c r="C2" s="2"/>
      <c r="D2" s="2"/>
      <c r="E2" s="2"/>
      <c r="F2" s="3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6.75" customHeight="1">
      <c r="A3" s="7" t="s">
        <v>42</v>
      </c>
      <c r="B3" s="8" t="s">
        <v>3</v>
      </c>
      <c r="C3" s="8" t="s">
        <v>43</v>
      </c>
      <c r="D3" s="8" t="s">
        <v>44</v>
      </c>
      <c r="E3" s="8" t="s">
        <v>40</v>
      </c>
      <c r="F3" s="27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10" t="s">
        <v>45</v>
      </c>
      <c r="B4" s="21">
        <f t="array" ref="B4">NPV(Inputs!B24,'Cash Flows'!F6:F10)+'Cash Flows'!F5</f>
        <v>756114.57</v>
      </c>
      <c r="C4" s="21">
        <f t="array" ref="C4">NPV(Inputs!C24,'Cash Flows'!F16:F20)+'Cash Flows'!F15</f>
        <v>394481.4572</v>
      </c>
      <c r="D4" s="21">
        <f t="array" ref="D4">NPV(Inputs!D24,'Cash Flows'!F26:F30)+'Cash Flows'!F25</f>
        <v>1292277.909</v>
      </c>
      <c r="E4" s="21">
        <f t="array" ref="E4">NPV(Inputs!F24,'Cash Flows'!F36:F40)+'Cash Flows'!F35</f>
        <v>589144.3726</v>
      </c>
      <c r="F4" s="28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10" t="s">
        <v>46</v>
      </c>
      <c r="B5" s="29">
        <f>IRR('Cash Flows'!F5:F10)</f>
        <v>2.148581699</v>
      </c>
      <c r="C5" s="29">
        <f>IRR('Cash Flows'!F15:F20)</f>
        <v>1.533916443</v>
      </c>
      <c r="D5" s="29">
        <f>IRR('Cash Flows'!F25:F30)</f>
        <v>2.534360751</v>
      </c>
      <c r="E5" s="29">
        <f>IFERROR(IRR('Cash Flows'!F35:F40),"N/A")</f>
        <v>2.174882755</v>
      </c>
      <c r="F5" s="28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10" t="s">
        <v>47</v>
      </c>
      <c r="B6" s="29">
        <f>Inputs!B24</f>
        <v>0.08</v>
      </c>
      <c r="C6" s="29">
        <f>Inputs!C24</f>
        <v>0.08</v>
      </c>
      <c r="D6" s="29">
        <f>Inputs!D24</f>
        <v>0.08</v>
      </c>
      <c r="E6" s="29">
        <f>Inputs!F24</f>
        <v>0.08</v>
      </c>
      <c r="F6" s="28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0" t="s">
        <v>48</v>
      </c>
      <c r="B7" s="29">
        <f>IRR('Cash Flows'!F5:F10)-Inputs!B24</f>
        <v>2.068581699</v>
      </c>
      <c r="C7" s="29">
        <f>IRR('Cash Flows'!F15:F20)-Inputs!C24</f>
        <v>1.453916443</v>
      </c>
      <c r="D7" s="29">
        <f>IRR('Cash Flows'!F25:F30)-Inputs!D24</f>
        <v>2.454360751</v>
      </c>
      <c r="E7" s="29">
        <f>IFERROR(IRR('Cash Flows'!F35:F40)-Inputs!F24,"N/A")</f>
        <v>2.094882755</v>
      </c>
      <c r="F7" s="28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10" t="s">
        <v>49</v>
      </c>
      <c r="B8" s="12">
        <f>SUM('Cash Flows'!C6:C10)</f>
        <v>1205895.871</v>
      </c>
      <c r="C8" s="12">
        <f>SUM('Cash Flows'!C16:C20)</f>
        <v>695709.1565</v>
      </c>
      <c r="D8" s="12">
        <f>SUM('Cash Flows'!C26:C30)</f>
        <v>2019396.17</v>
      </c>
      <c r="E8" s="12">
        <f>SUM('Cash Flows'!C36:C40)</f>
        <v>927612.2087</v>
      </c>
      <c r="F8" s="28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10" t="s">
        <v>50</v>
      </c>
      <c r="B9" s="12">
        <f>SUM('Cash Flows'!D6:D10)+SUM('Cash Flows'!E6:E10)</f>
        <v>135408.064</v>
      </c>
      <c r="C9" s="12">
        <f>SUM('Cash Flows'!D16:D20)+SUM('Cash Flows'!E16:E20)</f>
        <v>107784.8189</v>
      </c>
      <c r="D9" s="12">
        <f>SUM('Cash Flows'!D26:D30)+SUM('Cash Flows'!E26:E30)</f>
        <v>224235.754</v>
      </c>
      <c r="E9" s="12">
        <f>SUM('Cash Flows'!D36:D40)+SUM('Cash Flows'!E36:E40)</f>
        <v>94785.6448</v>
      </c>
      <c r="F9" s="28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10" t="s">
        <v>51</v>
      </c>
      <c r="B10" s="12">
        <f>-'Cash Flows'!F5</f>
        <v>95000</v>
      </c>
      <c r="C10" s="12">
        <f>-'Cash Flows'!F15</f>
        <v>73000</v>
      </c>
      <c r="D10" s="12">
        <f>-'Cash Flows'!F25</f>
        <v>135000</v>
      </c>
      <c r="E10" s="12">
        <f>-'Cash Flows'!F35</f>
        <v>73000</v>
      </c>
      <c r="F10" s="28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10" t="s">
        <v>52</v>
      </c>
      <c r="B11" s="30">
        <f>SUM('Cash Flows'!C6:C10)/(-'Cash Flows'!F5+SUM('Cash Flows'!D6:D10)+SUM('Cash Flows'!E6:E10))</f>
        <v>5.233739872</v>
      </c>
      <c r="C11" s="30">
        <f>SUM('Cash Flows'!C16:C20)/(-'Cash Flows'!F15+SUM('Cash Flows'!D16:D20)+SUM('Cash Flows'!E16:E20))</f>
        <v>3.848271999</v>
      </c>
      <c r="D11" s="30">
        <f>SUM('Cash Flows'!C26:C30)/(-'Cash Flows'!F25+SUM('Cash Flows'!D26:D30)+SUM('Cash Flows'!E26:E30))</f>
        <v>5.621367437</v>
      </c>
      <c r="E11" s="30">
        <f>IFERROR(SUM('Cash Flows'!C36:C40)/(-'Cash Flows'!F35+SUM('Cash Flows'!D36:D40)+SUM('Cash Flows'!E36:E40)),"N/A")</f>
        <v>5.528555258</v>
      </c>
      <c r="F11" s="2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 t="s">
        <v>53</v>
      </c>
      <c r="B12" s="7" t="str">
        <f t="array" ref="B12">IF(NPV(Inputs!B24,'Cash Flows'!F6:F10)+'Cash Flows'!F5&gt;0,"ACCEPT","REJECT")</f>
        <v>ACCEPT</v>
      </c>
      <c r="C12" s="7" t="str">
        <f t="array" ref="C12">IF(NPV(Inputs!C24,'Cash Flows'!F16:F20)+'Cash Flows'!F15&gt;0,"ACCEPT","REJECT")</f>
        <v>ACCEPT</v>
      </c>
      <c r="D12" s="7" t="str">
        <f t="array" ref="D12">IF(NPV(Inputs!D24,'Cash Flows'!F26:F30)+'Cash Flows'!F25&gt;0,"ACCEPT","REJECT")</f>
        <v>ACCEPT</v>
      </c>
      <c r="E12" s="7" t="str">
        <f t="array" ref="E12">IF(NPV(Inputs!F24,'Cash Flows'!F36:F40)+'Cash Flows'!F35&gt;0,"ACCEPT","REJECT")</f>
        <v>ACCEPT</v>
      </c>
      <c r="F12" s="28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5" t="s">
        <v>54</v>
      </c>
      <c r="B14" s="2"/>
      <c r="C14" s="2"/>
      <c r="D14" s="2"/>
      <c r="E14" s="2"/>
      <c r="F14" s="3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63.75" customHeight="1">
      <c r="A15" s="7" t="s">
        <v>30</v>
      </c>
      <c r="B15" s="8" t="s">
        <v>55</v>
      </c>
      <c r="C15" s="8" t="s">
        <v>56</v>
      </c>
      <c r="D15" s="8" t="s">
        <v>57</v>
      </c>
      <c r="E15" s="8" t="s">
        <v>58</v>
      </c>
      <c r="F15" s="7" t="s">
        <v>59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0" customHeight="1">
      <c r="A16" s="10">
        <v>0.0</v>
      </c>
      <c r="B16" s="21">
        <f>'Cash Flows'!I5</f>
        <v>-95000</v>
      </c>
      <c r="C16" s="21">
        <f>'Cash Flows'!I15</f>
        <v>-73000</v>
      </c>
      <c r="D16" s="21">
        <f>'Cash Flows'!I25</f>
        <v>-135000</v>
      </c>
      <c r="E16" s="21">
        <f>'Cash Flows'!I35</f>
        <v>-73000</v>
      </c>
      <c r="F16" s="10" t="str">
        <f t="shared" ref="F16:F21" si="1">IF(AND(B16&gt;=0,C16&gt;=0,D16&gt;=0),"All recovered","Payback pending")</f>
        <v>Payback pending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0" customHeight="1">
      <c r="A17" s="10">
        <v>1.0</v>
      </c>
      <c r="B17" s="21">
        <f>'Cash Flows'!I6</f>
        <v>92162.96296</v>
      </c>
      <c r="C17" s="21">
        <f>'Cash Flows'!I16</f>
        <v>29907.40741</v>
      </c>
      <c r="D17" s="21">
        <f>'Cash Flows'!I26</f>
        <v>178854.1667</v>
      </c>
      <c r="E17" s="21">
        <f>'Cash Flows'!I36</f>
        <v>72574.07407</v>
      </c>
      <c r="F17" s="10" t="str">
        <f t="shared" si="1"/>
        <v>All recovered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0" customHeight="1">
      <c r="A18" s="10">
        <v>2.0</v>
      </c>
      <c r="B18" s="21">
        <f>'Cash Flows'!I7</f>
        <v>270446.6392</v>
      </c>
      <c r="C18" s="21">
        <f>'Cash Flows'!I17</f>
        <v>127879.9726</v>
      </c>
      <c r="D18" s="21">
        <f>'Cash Flows'!I27</f>
        <v>477823.1096</v>
      </c>
      <c r="E18" s="21">
        <f>'Cash Flows'!I37</f>
        <v>211258.5734</v>
      </c>
      <c r="F18" s="10" t="str">
        <f t="shared" si="1"/>
        <v>All recovered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0" customHeight="1">
      <c r="A19" s="10">
        <v>3.0</v>
      </c>
      <c r="B19" s="21">
        <f>'Cash Flows'!I8</f>
        <v>440270.0452</v>
      </c>
      <c r="C19" s="21">
        <f>'Cash Flows'!I18</f>
        <v>221152.4793</v>
      </c>
      <c r="D19" s="21">
        <f>'Cash Flows'!I28</f>
        <v>762609.1053</v>
      </c>
      <c r="E19" s="21">
        <f>'Cash Flows'!I38</f>
        <v>343378.0166</v>
      </c>
      <c r="F19" s="10" t="str">
        <f t="shared" si="1"/>
        <v>All recovered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0" customHeight="1">
      <c r="A20" s="10">
        <v>4.0</v>
      </c>
      <c r="B20" s="21">
        <f>'Cash Flows'!I9</f>
        <v>602032.5044</v>
      </c>
      <c r="C20" s="21">
        <f>'Cash Flows'!I19</f>
        <v>309948.6078</v>
      </c>
      <c r="D20" s="21">
        <f>'Cash Flows'!I29</f>
        <v>1033881.431</v>
      </c>
      <c r="E20" s="21">
        <f>'Cash Flows'!I39</f>
        <v>469241.6924</v>
      </c>
      <c r="F20" s="10" t="str">
        <f t="shared" si="1"/>
        <v>All recovered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0" customHeight="1">
      <c r="A21" s="10">
        <v>5.0</v>
      </c>
      <c r="B21" s="21">
        <f>'Cash Flows'!I10</f>
        <v>756114.57</v>
      </c>
      <c r="C21" s="21">
        <f>'Cash Flows'!I20</f>
        <v>394481.4572</v>
      </c>
      <c r="D21" s="21">
        <f>'Cash Flows'!I30</f>
        <v>1292277.909</v>
      </c>
      <c r="E21" s="21">
        <f>'Cash Flows'!I40</f>
        <v>589144.3726</v>
      </c>
      <c r="F21" s="10" t="str">
        <f t="shared" si="1"/>
        <v>All recovered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A1:F1"/>
    <mergeCell ref="A2:F2"/>
    <mergeCell ref="A14:F1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29"/>
    <col customWidth="1" min="3" max="3" width="25.29"/>
    <col customWidth="1" min="4" max="4" width="20.0"/>
    <col customWidth="1" min="5" max="5" width="19.14"/>
    <col customWidth="1" min="6" max="6" width="24.71"/>
    <col customWidth="1" min="7" max="7" width="23.86"/>
    <col customWidth="1" min="8" max="8" width="30.29"/>
    <col customWidth="1" min="9" max="9" width="24.86"/>
    <col customWidth="1" min="10" max="10" width="26.71"/>
    <col customWidth="1" min="11" max="11" width="20.71"/>
    <col customWidth="1" min="12" max="12" width="14.0"/>
    <col customWidth="1" min="13" max="13" width="16.14"/>
    <col customWidth="1" min="14" max="14" width="18.14"/>
    <col customWidth="1" min="15" max="15" width="18.0"/>
    <col customWidth="1" min="16" max="16" width="26.14"/>
    <col customWidth="1" min="17" max="30" width="14.0"/>
    <col customWidth="1" min="31" max="34" width="16.0"/>
    <col customWidth="1" min="35" max="35" width="19.86"/>
  </cols>
  <sheetData>
    <row r="1" ht="30.0" customHeight="1">
      <c r="A1" s="5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 ht="27.75" customHeight="1">
      <c r="A2" s="3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3"/>
    </row>
    <row r="3" ht="27.75" customHeight="1">
      <c r="A3" s="5" t="s">
        <v>61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/>
    </row>
    <row r="4" ht="27.75" customHeight="1">
      <c r="A4" s="3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/>
    </row>
    <row r="5" ht="55.5" customHeight="1">
      <c r="A5" s="8" t="s">
        <v>62</v>
      </c>
      <c r="B5" s="8" t="s">
        <v>63</v>
      </c>
      <c r="C5" s="32" t="s">
        <v>64</v>
      </c>
      <c r="D5" s="2"/>
      <c r="E5" s="2"/>
      <c r="F5" s="2"/>
      <c r="G5" s="2"/>
      <c r="H5" s="2"/>
      <c r="I5" s="33"/>
      <c r="J5" s="32" t="s">
        <v>65</v>
      </c>
      <c r="K5" s="2"/>
      <c r="L5" s="2"/>
      <c r="M5" s="2"/>
      <c r="N5" s="2"/>
      <c r="O5" s="2"/>
      <c r="P5" s="33"/>
      <c r="Q5" s="32" t="s">
        <v>66</v>
      </c>
      <c r="R5" s="2"/>
      <c r="S5" s="2"/>
      <c r="T5" s="2"/>
      <c r="U5" s="2"/>
      <c r="V5" s="2"/>
      <c r="W5" s="33"/>
      <c r="X5" s="32" t="s">
        <v>67</v>
      </c>
      <c r="Y5" s="2"/>
      <c r="Z5" s="2"/>
      <c r="AA5" s="2"/>
      <c r="AB5" s="2"/>
      <c r="AC5" s="2"/>
      <c r="AD5" s="33"/>
      <c r="AE5" s="32" t="s">
        <v>68</v>
      </c>
      <c r="AF5" s="2"/>
      <c r="AG5" s="2"/>
      <c r="AH5" s="33"/>
      <c r="AI5" s="8" t="s">
        <v>69</v>
      </c>
    </row>
    <row r="6" ht="87.75" customHeight="1">
      <c r="A6" s="8" t="s">
        <v>62</v>
      </c>
      <c r="B6" s="8" t="s">
        <v>70</v>
      </c>
      <c r="C6" s="8" t="s">
        <v>71</v>
      </c>
      <c r="D6" s="8" t="s">
        <v>72</v>
      </c>
      <c r="E6" s="8" t="s">
        <v>73</v>
      </c>
      <c r="F6" s="8" t="s">
        <v>74</v>
      </c>
      <c r="G6" s="8" t="s">
        <v>75</v>
      </c>
      <c r="H6" s="8" t="s">
        <v>76</v>
      </c>
      <c r="I6" s="8" t="s">
        <v>77</v>
      </c>
      <c r="J6" s="8" t="s">
        <v>78</v>
      </c>
      <c r="K6" s="8" t="s">
        <v>79</v>
      </c>
      <c r="L6" s="8" t="s">
        <v>80</v>
      </c>
      <c r="M6" s="8" t="s">
        <v>81</v>
      </c>
      <c r="N6" s="8" t="s">
        <v>82</v>
      </c>
      <c r="O6" s="8" t="s">
        <v>83</v>
      </c>
      <c r="P6" s="8" t="s">
        <v>84</v>
      </c>
      <c r="Q6" s="8" t="s">
        <v>85</v>
      </c>
      <c r="R6" s="8" t="s">
        <v>86</v>
      </c>
      <c r="S6" s="8" t="s">
        <v>87</v>
      </c>
      <c r="T6" s="8" t="s">
        <v>88</v>
      </c>
      <c r="U6" s="8" t="s">
        <v>89</v>
      </c>
      <c r="V6" s="8" t="s">
        <v>90</v>
      </c>
      <c r="W6" s="8" t="s">
        <v>91</v>
      </c>
      <c r="X6" s="8" t="s">
        <v>92</v>
      </c>
      <c r="Y6" s="8" t="s">
        <v>93</v>
      </c>
      <c r="Z6" s="8" t="s">
        <v>94</v>
      </c>
      <c r="AA6" s="8" t="s">
        <v>95</v>
      </c>
      <c r="AB6" s="8" t="s">
        <v>96</v>
      </c>
      <c r="AC6" s="8" t="s">
        <v>97</v>
      </c>
      <c r="AD6" s="8" t="s">
        <v>98</v>
      </c>
      <c r="AE6" s="8" t="s">
        <v>99</v>
      </c>
      <c r="AF6" s="8" t="s">
        <v>100</v>
      </c>
      <c r="AG6" s="8" t="s">
        <v>101</v>
      </c>
      <c r="AH6" s="8" t="s">
        <v>102</v>
      </c>
      <c r="AI6" s="8" t="s">
        <v>103</v>
      </c>
    </row>
    <row r="7" ht="27.75" customHeight="1">
      <c r="A7" s="34" t="s">
        <v>104</v>
      </c>
      <c r="B7" s="35">
        <v>0.25</v>
      </c>
      <c r="C7" s="36">
        <f>Inputs!B7*Inputs!B8*0.25</f>
        <v>162240</v>
      </c>
      <c r="D7" s="36">
        <f>Inputs!B17+Inputs!B18</f>
        <v>25000</v>
      </c>
      <c r="E7" s="36">
        <f>C7*(1+Inputs!B21)^0-D7*(1+Inputs!B22)^0</f>
        <v>137240</v>
      </c>
      <c r="F7" s="36">
        <f>C7*(1+Inputs!B21)^1-D7*(1+Inputs!B22)^1</f>
        <v>141107.2</v>
      </c>
      <c r="G7" s="36">
        <f>C7*(1+Inputs!B21)^2-D7*(1+Inputs!B22)^2</f>
        <v>145080.416</v>
      </c>
      <c r="H7" s="36">
        <f>C7*(1+Inputs!B21)^3-D7*(1+Inputs!B22)^3</f>
        <v>149162.4285</v>
      </c>
      <c r="I7" s="36">
        <f>C7*(1+Inputs!B21)^4-D7*(1+Inputs!B22)^4</f>
        <v>153356.0853</v>
      </c>
      <c r="J7" s="36">
        <f>Inputs!C7*Inputs!C8*0.25</f>
        <v>93600</v>
      </c>
      <c r="K7" s="36">
        <f>Inputs!C17+Inputs!C18</f>
        <v>19900</v>
      </c>
      <c r="L7" s="36">
        <f>J7*(1+Inputs!C21)^0-K7*(1+Inputs!C22)^0</f>
        <v>73700</v>
      </c>
      <c r="M7" s="36">
        <f>J7*(1+Inputs!C21)^1-K7*(1+Inputs!C22)^1</f>
        <v>75712</v>
      </c>
      <c r="N7" s="36">
        <f>J7*(1+Inputs!C21)^2-K7*(1+Inputs!C22)^2</f>
        <v>77776.4</v>
      </c>
      <c r="O7" s="36">
        <f>J7*(1+Inputs!C21)^3-K7*(1+Inputs!C22)^3</f>
        <v>79894.4536</v>
      </c>
      <c r="P7" s="36">
        <f>J7*(1+Inputs!C21)^4-K7*(1+Inputs!C22)^4</f>
        <v>82067.43927</v>
      </c>
      <c r="Q7" s="36">
        <f>Inputs!D7*Inputs!D8*0.25</f>
        <v>271687.5</v>
      </c>
      <c r="R7" s="36">
        <f>Inputs!D17+Inputs!D18</f>
        <v>41400</v>
      </c>
      <c r="S7" s="36">
        <f>Q7*(1+Inputs!D21)^0-R7*(1+Inputs!D22)^0</f>
        <v>230287.5</v>
      </c>
      <c r="T7" s="36">
        <f>Q7*(1+Inputs!D21)^1-R7*(1+Inputs!D22)^1</f>
        <v>236782.125</v>
      </c>
      <c r="U7" s="36">
        <f>Q7*(1+Inputs!D21)^2-R7*(1+Inputs!D22)^2</f>
        <v>243455.0288</v>
      </c>
      <c r="V7" s="36">
        <f>Q7*(1+Inputs!D21)^3-R7*(1+Inputs!D22)^3</f>
        <v>250310.8972</v>
      </c>
      <c r="W7" s="36">
        <f>Q7*(1+Inputs!D21)^4-R7*(1+Inputs!D22)^4</f>
        <v>257354.5304</v>
      </c>
      <c r="X7" s="36">
        <f>Inputs!F7*Inputs!F8*0.25</f>
        <v>124800</v>
      </c>
      <c r="Y7" s="36">
        <f>Inputs!F17+Inputs!F18</f>
        <v>17500</v>
      </c>
      <c r="Z7" s="36">
        <f>X7*(1+Inputs!F21)^0-Y7*(1+Inputs!F22)^0</f>
        <v>107300</v>
      </c>
      <c r="AA7" s="36">
        <f>X7*(1+Inputs!F21)^1-Y7*(1+Inputs!F22)^1</f>
        <v>110344</v>
      </c>
      <c r="AB7" s="36">
        <f>X7*(1+Inputs!F21)^2-Y7*(1+Inputs!F22)^2</f>
        <v>113472.32</v>
      </c>
      <c r="AC7" s="36">
        <f>X7*(1+Inputs!F21)^3-Y7*(1+Inputs!F22)^3</f>
        <v>116687.2096</v>
      </c>
      <c r="AD7" s="36">
        <f>X7*(1+Inputs!F21)^4-Y7*(1+Inputs!F22)^4</f>
        <v>119990.9747</v>
      </c>
      <c r="AE7" s="12">
        <f t="array" ref="AE7">NPV(Inputs!B24,E7,F7,G7,H7,I7)-(Inputs!B13+Inputs!B14)</f>
        <v>482230.6789</v>
      </c>
      <c r="AF7" s="12">
        <f t="array" ref="AF7">NPV(Inputs!C24,L7,M7,N7,O7,P7)-(Inputs!C13+Inputs!C14)</f>
        <v>236471.5201</v>
      </c>
      <c r="AG7" s="12">
        <f t="array" ref="AG7">NPV(Inputs!D24,S7,T7,U7,V7,W7)-(Inputs!D13+Inputs!D14)</f>
        <v>833631.2765</v>
      </c>
      <c r="AH7" s="12">
        <f t="array" ref="AH7">NPV(Inputs!F24,Z7,AA7,AB7,AC7,AD7)-(Inputs!F13+Inputs!F14)</f>
        <v>378464.4564</v>
      </c>
      <c r="AI7" s="12">
        <f t="shared" ref="AI7:AI9" si="1">MAX(AE7,AF7,AG7,AH7)</f>
        <v>833631.2765</v>
      </c>
    </row>
    <row r="8" ht="27.75" customHeight="1">
      <c r="A8" s="37" t="s">
        <v>105</v>
      </c>
      <c r="B8" s="38">
        <v>0.35</v>
      </c>
      <c r="C8" s="36">
        <f>Inputs!B7*Inputs!B8*0.35</f>
        <v>227136</v>
      </c>
      <c r="D8" s="36">
        <f>Inputs!B17+Inputs!B18</f>
        <v>25000</v>
      </c>
      <c r="E8" s="36">
        <f>C8*(1+Inputs!B21)^0-D8*(1+Inputs!B22)^0</f>
        <v>202136</v>
      </c>
      <c r="F8" s="36">
        <f>C8*(1+Inputs!B21)^1-D8*(1+Inputs!B22)^1</f>
        <v>207950.08</v>
      </c>
      <c r="G8" s="36">
        <f>C8*(1+Inputs!B21)^2-D8*(1+Inputs!B22)^2</f>
        <v>213928.5824</v>
      </c>
      <c r="H8" s="36">
        <f>C8*(1+Inputs!B21)^3-D8*(1+Inputs!B22)^3</f>
        <v>220076.0399</v>
      </c>
      <c r="I8" s="36">
        <f>C8*(1+Inputs!B21)^4-D8*(1+Inputs!B22)^4</f>
        <v>226397.1051</v>
      </c>
      <c r="J8" s="36">
        <f>Inputs!C7*Inputs!C8*0.35</f>
        <v>131040</v>
      </c>
      <c r="K8" s="36">
        <f>Inputs!C17+Inputs!C18</f>
        <v>19900</v>
      </c>
      <c r="L8" s="36">
        <f>J8*(1+Inputs!C21)^0-K8*(1+Inputs!C22)^0</f>
        <v>111140</v>
      </c>
      <c r="M8" s="36">
        <f>J8*(1+Inputs!C21)^1-K8*(1+Inputs!C22)^1</f>
        <v>114275.2</v>
      </c>
      <c r="N8" s="36">
        <f>J8*(1+Inputs!C21)^2-K8*(1+Inputs!C22)^2</f>
        <v>117496.496</v>
      </c>
      <c r="O8" s="36">
        <f>J8*(1+Inputs!C21)^3-K8*(1+Inputs!C22)^3</f>
        <v>120806.1525</v>
      </c>
      <c r="P8" s="36">
        <f>J8*(1+Inputs!C21)^4-K8*(1+Inputs!C22)^4</f>
        <v>124206.4891</v>
      </c>
      <c r="Q8" s="36">
        <f>Inputs!D7*Inputs!D8*0.35</f>
        <v>380362.5</v>
      </c>
      <c r="R8" s="36">
        <f>Inputs!D17+Inputs!D18</f>
        <v>41400</v>
      </c>
      <c r="S8" s="36">
        <f>Q8*(1+Inputs!D21)^0-R8*(1+Inputs!D22)^0</f>
        <v>338962.5</v>
      </c>
      <c r="T8" s="36">
        <f>Q8*(1+Inputs!D21)^1-R8*(1+Inputs!D22)^1</f>
        <v>348717.375</v>
      </c>
      <c r="U8" s="36">
        <f>Q8*(1+Inputs!D21)^2-R8*(1+Inputs!D22)^2</f>
        <v>358748.3363</v>
      </c>
      <c r="V8" s="36">
        <f>Q8*(1+Inputs!D21)^3-R8*(1+Inputs!D22)^3</f>
        <v>369063.0039</v>
      </c>
      <c r="W8" s="36">
        <f>Q8*(1+Inputs!D21)^4-R8*(1+Inputs!D22)^4</f>
        <v>379669.2004</v>
      </c>
      <c r="X8" s="36">
        <f>Inputs!F7*Inputs!F8*0.35</f>
        <v>174720</v>
      </c>
      <c r="Y8" s="36">
        <f>Inputs!F17+Inputs!F18</f>
        <v>17500</v>
      </c>
      <c r="Z8" s="36">
        <f>X8*(1+Inputs!F21)^0-Y8*(1+Inputs!F22)^0</f>
        <v>157220</v>
      </c>
      <c r="AA8" s="36">
        <f>X8*(1+Inputs!F21)^1-Y8*(1+Inputs!F22)^1</f>
        <v>161761.6</v>
      </c>
      <c r="AB8" s="36">
        <f>X8*(1+Inputs!F21)^2-Y8*(1+Inputs!F22)^2</f>
        <v>166432.448</v>
      </c>
      <c r="AC8" s="36">
        <f>X8*(1+Inputs!F21)^3-Y8*(1+Inputs!F22)^3</f>
        <v>171236.1414</v>
      </c>
      <c r="AD8" s="36">
        <f>X8*(1+Inputs!F21)^4-Y8*(1+Inputs!F22)^4</f>
        <v>176176.3745</v>
      </c>
      <c r="AE8" s="39">
        <f t="array" ref="AE8">NPV(Inputs!B24,E8,F8,G8,H8,I8)-(Inputs!B13+Inputs!B14)</f>
        <v>756114.57</v>
      </c>
      <c r="AF8" s="39">
        <f t="array" ref="AF8">NPV(Inputs!C24,L8,M8,N8,O8,P8)-(Inputs!C13+Inputs!C14)</f>
        <v>394481.4572</v>
      </c>
      <c r="AG8" s="39">
        <f t="array" ref="AG8">NPV(Inputs!D24,S8,T8,U8,V8,W8)-(Inputs!D13+Inputs!D14)</f>
        <v>1292277.909</v>
      </c>
      <c r="AH8" s="39">
        <f t="array" ref="AH8">NPV(Inputs!F24,Z8,AA8,AB8,AC8,AD8)-(Inputs!F13+Inputs!F14)</f>
        <v>589144.3726</v>
      </c>
      <c r="AI8" s="39">
        <f t="shared" si="1"/>
        <v>1292277.909</v>
      </c>
    </row>
    <row r="9" ht="27.75" customHeight="1">
      <c r="A9" s="34" t="s">
        <v>106</v>
      </c>
      <c r="B9" s="35">
        <v>0.45</v>
      </c>
      <c r="C9" s="36">
        <f>Inputs!B7*Inputs!B8*0.45</f>
        <v>292032</v>
      </c>
      <c r="D9" s="36">
        <f>Inputs!B17+Inputs!B18</f>
        <v>25000</v>
      </c>
      <c r="E9" s="36">
        <f>C9*(1+Inputs!B21)^0-D9*(1+Inputs!B22)^0</f>
        <v>267032</v>
      </c>
      <c r="F9" s="36">
        <f>C9*(1+Inputs!B21)^1-D9*(1+Inputs!B22)^1</f>
        <v>274792.96</v>
      </c>
      <c r="G9" s="36">
        <f>C9*(1+Inputs!B21)^2-D9*(1+Inputs!B22)^2</f>
        <v>282776.7488</v>
      </c>
      <c r="H9" s="36">
        <f>C9*(1+Inputs!B21)^3-D9*(1+Inputs!B22)^3</f>
        <v>290989.6513</v>
      </c>
      <c r="I9" s="36">
        <f>C9*(1+Inputs!B21)^4-D9*(1+Inputs!B22)^4</f>
        <v>299438.1248</v>
      </c>
      <c r="J9" s="36">
        <f>Inputs!C7*Inputs!C8*0.45</f>
        <v>168480</v>
      </c>
      <c r="K9" s="36">
        <f>Inputs!C17+Inputs!C18</f>
        <v>19900</v>
      </c>
      <c r="L9" s="36">
        <f>J9*(1+Inputs!C21)^0-K9*(1+Inputs!C22)^0</f>
        <v>148580</v>
      </c>
      <c r="M9" s="36">
        <f>J9*(1+Inputs!C21)^1-K9*(1+Inputs!C22)^1</f>
        <v>152838.4</v>
      </c>
      <c r="N9" s="36">
        <f>J9*(1+Inputs!C21)^2-K9*(1+Inputs!C22)^2</f>
        <v>157216.592</v>
      </c>
      <c r="O9" s="36">
        <f>J9*(1+Inputs!C21)^3-K9*(1+Inputs!C22)^3</f>
        <v>161717.8514</v>
      </c>
      <c r="P9" s="36">
        <f>J9*(1+Inputs!C21)^4-K9*(1+Inputs!C22)^4</f>
        <v>166345.539</v>
      </c>
      <c r="Q9" s="36">
        <f>Inputs!D7*Inputs!D8*0.45</f>
        <v>489037.5</v>
      </c>
      <c r="R9" s="36">
        <f>Inputs!D17+Inputs!D18</f>
        <v>41400</v>
      </c>
      <c r="S9" s="36">
        <f>Q9*(1+Inputs!D21)^0-R9*(1+Inputs!D22)^0</f>
        <v>447637.5</v>
      </c>
      <c r="T9" s="36">
        <f>Q9*(1+Inputs!D21)^1-R9*(1+Inputs!D22)^1</f>
        <v>460652.625</v>
      </c>
      <c r="U9" s="36">
        <f>Q9*(1+Inputs!D21)^2-R9*(1+Inputs!D22)^2</f>
        <v>474041.6438</v>
      </c>
      <c r="V9" s="36">
        <f>Q9*(1+Inputs!D21)^3-R9*(1+Inputs!D22)^3</f>
        <v>487815.1107</v>
      </c>
      <c r="W9" s="36">
        <f>Q9*(1+Inputs!D21)^4-R9*(1+Inputs!D22)^4</f>
        <v>501983.8703</v>
      </c>
      <c r="X9" s="36">
        <f>Inputs!F7*Inputs!F8*0.45</f>
        <v>224640</v>
      </c>
      <c r="Y9" s="36">
        <f>Inputs!F17+Inputs!F18</f>
        <v>17500</v>
      </c>
      <c r="Z9" s="36">
        <f>X9*(1+Inputs!F21)^0-Y9*(1+Inputs!F22)^0</f>
        <v>207140</v>
      </c>
      <c r="AA9" s="36">
        <f>X9*(1+Inputs!F21)^1-Y9*(1+Inputs!F22)^1</f>
        <v>213179.2</v>
      </c>
      <c r="AB9" s="36">
        <f>X9*(1+Inputs!F21)^2-Y9*(1+Inputs!F22)^2</f>
        <v>219392.576</v>
      </c>
      <c r="AC9" s="36">
        <f>X9*(1+Inputs!F21)^3-Y9*(1+Inputs!F22)^3</f>
        <v>225785.0733</v>
      </c>
      <c r="AD9" s="36">
        <f>X9*(1+Inputs!F21)^4-Y9*(1+Inputs!F22)^4</f>
        <v>232361.7743</v>
      </c>
      <c r="AE9" s="12">
        <f t="array" ref="AE9">NPV(Inputs!B24,E9,F9,G9,H9,I9)-(Inputs!B13+Inputs!B14)</f>
        <v>1029998.461</v>
      </c>
      <c r="AF9" s="12">
        <f t="array" ref="AF9">NPV(Inputs!C24,L9,M9,N9,O9,P9)-(Inputs!C13+Inputs!C14)</f>
        <v>552491.3944</v>
      </c>
      <c r="AG9" s="12">
        <f t="array" ref="AG9">NPV(Inputs!D24,S9,T9,U9,V9,W9)-(Inputs!D13+Inputs!D14)</f>
        <v>1750924.541</v>
      </c>
      <c r="AH9" s="12">
        <f t="array" ref="AH9">NPV(Inputs!F24,Z9,AA9,AB9,AC9,AD9)-(Inputs!F13+Inputs!F14)</f>
        <v>799824.2888</v>
      </c>
      <c r="AI9" s="12">
        <f t="shared" si="1"/>
        <v>1750924.541</v>
      </c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ht="27.75" customHeight="1">
      <c r="A11" s="5" t="s">
        <v>107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/>
    </row>
    <row r="12" ht="27.75" customHeight="1">
      <c r="A12" s="31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/>
    </row>
    <row r="13" ht="49.5" customHeight="1">
      <c r="A13" s="8" t="s">
        <v>62</v>
      </c>
      <c r="B13" s="8" t="s">
        <v>108</v>
      </c>
      <c r="C13" s="8" t="s">
        <v>109</v>
      </c>
      <c r="D13" s="8" t="s">
        <v>73</v>
      </c>
      <c r="E13" s="8" t="s">
        <v>74</v>
      </c>
      <c r="F13" s="8" t="s">
        <v>75</v>
      </c>
      <c r="G13" s="8" t="s">
        <v>76</v>
      </c>
      <c r="H13" s="8" t="s">
        <v>77</v>
      </c>
      <c r="I13" s="8" t="s">
        <v>110</v>
      </c>
      <c r="J13" s="8" t="s">
        <v>80</v>
      </c>
      <c r="K13" s="8" t="s">
        <v>81</v>
      </c>
      <c r="L13" s="8" t="s">
        <v>82</v>
      </c>
      <c r="M13" s="8" t="s">
        <v>83</v>
      </c>
      <c r="N13" s="8" t="s">
        <v>84</v>
      </c>
      <c r="O13" s="8" t="s">
        <v>111</v>
      </c>
      <c r="P13" s="8" t="s">
        <v>87</v>
      </c>
      <c r="Q13" s="8" t="s">
        <v>88</v>
      </c>
      <c r="R13" s="8" t="s">
        <v>89</v>
      </c>
      <c r="S13" s="8" t="s">
        <v>90</v>
      </c>
      <c r="T13" s="8" t="s">
        <v>91</v>
      </c>
      <c r="U13" s="8" t="s">
        <v>112</v>
      </c>
      <c r="V13" s="8" t="s">
        <v>94</v>
      </c>
      <c r="W13" s="8" t="s">
        <v>95</v>
      </c>
      <c r="X13" s="8" t="s">
        <v>96</v>
      </c>
      <c r="Y13" s="8" t="s">
        <v>97</v>
      </c>
      <c r="Z13" s="8" t="s">
        <v>98</v>
      </c>
      <c r="AA13" s="34"/>
      <c r="AB13" s="34"/>
      <c r="AC13" s="34"/>
      <c r="AD13" s="34"/>
      <c r="AE13" s="8" t="s">
        <v>99</v>
      </c>
      <c r="AF13" s="8" t="s">
        <v>100</v>
      </c>
      <c r="AG13" s="8" t="s">
        <v>101</v>
      </c>
      <c r="AH13" s="8" t="s">
        <v>102</v>
      </c>
      <c r="AI13" s="8" t="s">
        <v>103</v>
      </c>
    </row>
    <row r="14" ht="27.75" customHeight="1">
      <c r="A14" s="34" t="s">
        <v>113</v>
      </c>
      <c r="B14" s="35">
        <v>0.06</v>
      </c>
      <c r="C14" s="36">
        <f>'Cash Flows'!F5</f>
        <v>-95000</v>
      </c>
      <c r="D14" s="36">
        <f>'Cash Flows'!F6</f>
        <v>202136</v>
      </c>
      <c r="E14" s="36">
        <f>'Cash Flows'!F7</f>
        <v>207950.08</v>
      </c>
      <c r="F14" s="36">
        <f>'Cash Flows'!F8</f>
        <v>213928.5824</v>
      </c>
      <c r="G14" s="36">
        <f>'Cash Flows'!F9</f>
        <v>220076.0399</v>
      </c>
      <c r="H14" s="36">
        <f>'Cash Flows'!F10</f>
        <v>226397.1051</v>
      </c>
      <c r="I14" s="36">
        <f>'Cash Flows'!F15</f>
        <v>-73000</v>
      </c>
      <c r="J14" s="36">
        <f>'Cash Flows'!F16</f>
        <v>111140</v>
      </c>
      <c r="K14" s="36">
        <f>'Cash Flows'!F17</f>
        <v>114275.2</v>
      </c>
      <c r="L14" s="36">
        <f>'Cash Flows'!F18</f>
        <v>117496.496</v>
      </c>
      <c r="M14" s="36">
        <f>'Cash Flows'!F19</f>
        <v>120806.1525</v>
      </c>
      <c r="N14" s="36">
        <f>'Cash Flows'!F20</f>
        <v>124206.4891</v>
      </c>
      <c r="O14" s="36">
        <f>'Cash Flows'!F25</f>
        <v>-135000</v>
      </c>
      <c r="P14" s="36">
        <f>'Cash Flows'!F26</f>
        <v>338962.5</v>
      </c>
      <c r="Q14" s="36">
        <f>'Cash Flows'!F27</f>
        <v>348717.375</v>
      </c>
      <c r="R14" s="36">
        <f>'Cash Flows'!F28</f>
        <v>358748.3363</v>
      </c>
      <c r="S14" s="36">
        <f>'Cash Flows'!F29</f>
        <v>369063.0039</v>
      </c>
      <c r="T14" s="36">
        <f>'Cash Flows'!F30</f>
        <v>379669.2004</v>
      </c>
      <c r="U14" s="36">
        <f>'Cash Flows'!F35</f>
        <v>-73000</v>
      </c>
      <c r="V14" s="36">
        <f>'Cash Flows'!F36</f>
        <v>157220</v>
      </c>
      <c r="W14" s="36">
        <f>'Cash Flows'!F37</f>
        <v>161761.6</v>
      </c>
      <c r="X14" s="36">
        <f>'Cash Flows'!F38</f>
        <v>166432.448</v>
      </c>
      <c r="Y14" s="36">
        <f>'Cash Flows'!F39</f>
        <v>171236.1414</v>
      </c>
      <c r="Z14" s="36">
        <f>'Cash Flows'!F40</f>
        <v>176176.3745</v>
      </c>
      <c r="AA14" s="34"/>
      <c r="AB14" s="34"/>
      <c r="AC14" s="34"/>
      <c r="AD14" s="34"/>
      <c r="AE14" s="12">
        <f t="array" ref="AE14">NPV(0.06,D14,E14,F14,G14,H14)+C14</f>
        <v>803885.6572</v>
      </c>
      <c r="AF14" s="12">
        <f t="array" ref="AF14">NPV(0.06,J14,K14,L14,M14,N14)+I14</f>
        <v>420710.0035</v>
      </c>
      <c r="AG14" s="12">
        <f t="array" ref="AG14">NPV(0.06,P14,Q14,R14,S14,T14)+O14</f>
        <v>1372388.566</v>
      </c>
      <c r="AH14" s="12">
        <f t="array" ref="AH14">NPV(0.06,V14,W14,X14,Y14,Z14)+U14</f>
        <v>626312.1938</v>
      </c>
      <c r="AI14" s="12">
        <f t="shared" ref="AI14:AI17" si="2">MAX(AE14,AF14,AG14,AH14)</f>
        <v>1372388.566</v>
      </c>
    </row>
    <row r="15" ht="27.75" customHeight="1">
      <c r="A15" s="37" t="s">
        <v>114</v>
      </c>
      <c r="B15" s="38">
        <v>0.08</v>
      </c>
      <c r="C15" s="36">
        <f>'Cash Flows'!F5</f>
        <v>-95000</v>
      </c>
      <c r="D15" s="36">
        <f>'Cash Flows'!F6</f>
        <v>202136</v>
      </c>
      <c r="E15" s="36">
        <f>'Cash Flows'!F7</f>
        <v>207950.08</v>
      </c>
      <c r="F15" s="36">
        <f>'Cash Flows'!F8</f>
        <v>213928.5824</v>
      </c>
      <c r="G15" s="36">
        <f>'Cash Flows'!F9</f>
        <v>220076.0399</v>
      </c>
      <c r="H15" s="36">
        <f>'Cash Flows'!F10</f>
        <v>226397.1051</v>
      </c>
      <c r="I15" s="36">
        <f>'Cash Flows'!F15</f>
        <v>-73000</v>
      </c>
      <c r="J15" s="36">
        <f>'Cash Flows'!F16</f>
        <v>111140</v>
      </c>
      <c r="K15" s="36">
        <f>'Cash Flows'!F17</f>
        <v>114275.2</v>
      </c>
      <c r="L15" s="36">
        <f>'Cash Flows'!F18</f>
        <v>117496.496</v>
      </c>
      <c r="M15" s="36">
        <f>'Cash Flows'!F19</f>
        <v>120806.1525</v>
      </c>
      <c r="N15" s="36">
        <f>'Cash Flows'!F20</f>
        <v>124206.4891</v>
      </c>
      <c r="O15" s="36">
        <f>'Cash Flows'!F25</f>
        <v>-135000</v>
      </c>
      <c r="P15" s="36">
        <f>'Cash Flows'!F26</f>
        <v>338962.5</v>
      </c>
      <c r="Q15" s="36">
        <f>'Cash Flows'!F27</f>
        <v>348717.375</v>
      </c>
      <c r="R15" s="36">
        <f>'Cash Flows'!F28</f>
        <v>358748.3363</v>
      </c>
      <c r="S15" s="36">
        <f>'Cash Flows'!F29</f>
        <v>369063.0039</v>
      </c>
      <c r="T15" s="36">
        <f>'Cash Flows'!F30</f>
        <v>379669.2004</v>
      </c>
      <c r="U15" s="36">
        <f>'Cash Flows'!F35</f>
        <v>-73000</v>
      </c>
      <c r="V15" s="36">
        <f>'Cash Flows'!F36</f>
        <v>157220</v>
      </c>
      <c r="W15" s="36">
        <f>'Cash Flows'!F37</f>
        <v>161761.6</v>
      </c>
      <c r="X15" s="36">
        <f>'Cash Flows'!F38</f>
        <v>166432.448</v>
      </c>
      <c r="Y15" s="36">
        <f>'Cash Flows'!F39</f>
        <v>171236.1414</v>
      </c>
      <c r="Z15" s="36">
        <f>'Cash Flows'!F40</f>
        <v>176176.3745</v>
      </c>
      <c r="AA15" s="34"/>
      <c r="AB15" s="34"/>
      <c r="AC15" s="34"/>
      <c r="AD15" s="34"/>
      <c r="AE15" s="39">
        <f t="array" ref="AE15">NPV(0.08,D15,E15,F15,G15,H15)+C15</f>
        <v>756114.57</v>
      </c>
      <c r="AF15" s="39">
        <f t="array" ref="AF15">NPV(0.08,J15,K15,L15,M15,N15)+I15</f>
        <v>394481.4572</v>
      </c>
      <c r="AG15" s="39">
        <f t="array" ref="AG15">NPV(0.08,P15,Q15,R15,S15,T15)+O15</f>
        <v>1292277.909</v>
      </c>
      <c r="AH15" s="39">
        <f t="array" ref="AH15">NPV(0.08,V15,W15,X15,Y15,Z15)+U15</f>
        <v>589144.3726</v>
      </c>
      <c r="AI15" s="39">
        <f t="shared" si="2"/>
        <v>1292277.909</v>
      </c>
    </row>
    <row r="16" ht="27.75" customHeight="1">
      <c r="A16" s="34" t="s">
        <v>115</v>
      </c>
      <c r="B16" s="35">
        <v>0.1</v>
      </c>
      <c r="C16" s="36">
        <f>'Cash Flows'!F5</f>
        <v>-95000</v>
      </c>
      <c r="D16" s="36">
        <f>'Cash Flows'!F6</f>
        <v>202136</v>
      </c>
      <c r="E16" s="36">
        <f>'Cash Flows'!F7</f>
        <v>207950.08</v>
      </c>
      <c r="F16" s="36">
        <f>'Cash Flows'!F8</f>
        <v>213928.5824</v>
      </c>
      <c r="G16" s="36">
        <f>'Cash Flows'!F9</f>
        <v>220076.0399</v>
      </c>
      <c r="H16" s="36">
        <f>'Cash Flows'!F10</f>
        <v>226397.1051</v>
      </c>
      <c r="I16" s="36">
        <f>'Cash Flows'!F15</f>
        <v>-73000</v>
      </c>
      <c r="J16" s="36">
        <f>'Cash Flows'!F16</f>
        <v>111140</v>
      </c>
      <c r="K16" s="36">
        <f>'Cash Flows'!F17</f>
        <v>114275.2</v>
      </c>
      <c r="L16" s="36">
        <f>'Cash Flows'!F18</f>
        <v>117496.496</v>
      </c>
      <c r="M16" s="36">
        <f>'Cash Flows'!F19</f>
        <v>120806.1525</v>
      </c>
      <c r="N16" s="36">
        <f>'Cash Flows'!F20</f>
        <v>124206.4891</v>
      </c>
      <c r="O16" s="36">
        <f>'Cash Flows'!F25</f>
        <v>-135000</v>
      </c>
      <c r="P16" s="36">
        <f>'Cash Flows'!F26</f>
        <v>338962.5</v>
      </c>
      <c r="Q16" s="36">
        <f>'Cash Flows'!F27</f>
        <v>348717.375</v>
      </c>
      <c r="R16" s="36">
        <f>'Cash Flows'!F28</f>
        <v>358748.3363</v>
      </c>
      <c r="S16" s="36">
        <f>'Cash Flows'!F29</f>
        <v>369063.0039</v>
      </c>
      <c r="T16" s="36">
        <f>'Cash Flows'!F30</f>
        <v>379669.2004</v>
      </c>
      <c r="U16" s="36">
        <f>'Cash Flows'!F35</f>
        <v>-73000</v>
      </c>
      <c r="V16" s="36">
        <f>'Cash Flows'!F36</f>
        <v>157220</v>
      </c>
      <c r="W16" s="36">
        <f>'Cash Flows'!F37</f>
        <v>161761.6</v>
      </c>
      <c r="X16" s="36">
        <f>'Cash Flows'!F38</f>
        <v>166432.448</v>
      </c>
      <c r="Y16" s="36">
        <f>'Cash Flows'!F39</f>
        <v>171236.1414</v>
      </c>
      <c r="Z16" s="36">
        <f>'Cash Flows'!F40</f>
        <v>176176.3745</v>
      </c>
      <c r="AA16" s="34"/>
      <c r="AB16" s="34"/>
      <c r="AC16" s="34"/>
      <c r="AD16" s="34"/>
      <c r="AE16" s="12">
        <f t="array" ref="AE16">NPV(0.1,D16,E16,F16,G16,H16)+C16</f>
        <v>712236.967</v>
      </c>
      <c r="AF16" s="12">
        <f t="array" ref="AF16">NPV(0.1,J16,K16,L16,M16,N16)+I16</f>
        <v>370390.2194</v>
      </c>
      <c r="AG16" s="12">
        <f t="array" ref="AG16">NPV(0.1,P16,Q16,R16,S16,T16)+O16</f>
        <v>1218696.54</v>
      </c>
      <c r="AH16" s="12">
        <f t="array" ref="AH16">NPV(0.1,V16,W16,X16,Y16,Z16)+U16</f>
        <v>555005.9632</v>
      </c>
      <c r="AI16" s="12">
        <f t="shared" si="2"/>
        <v>1218696.54</v>
      </c>
    </row>
    <row r="17" ht="27.75" customHeight="1">
      <c r="A17" s="34" t="s">
        <v>116</v>
      </c>
      <c r="B17" s="35">
        <v>0.12</v>
      </c>
      <c r="C17" s="36">
        <f>'Cash Flows'!F5</f>
        <v>-95000</v>
      </c>
      <c r="D17" s="36">
        <f>'Cash Flows'!F6</f>
        <v>202136</v>
      </c>
      <c r="E17" s="36">
        <f>'Cash Flows'!F7</f>
        <v>207950.08</v>
      </c>
      <c r="F17" s="36">
        <f>'Cash Flows'!F8</f>
        <v>213928.5824</v>
      </c>
      <c r="G17" s="36">
        <f>'Cash Flows'!F9</f>
        <v>220076.0399</v>
      </c>
      <c r="H17" s="36">
        <f>'Cash Flows'!F10</f>
        <v>226397.1051</v>
      </c>
      <c r="I17" s="36">
        <f>'Cash Flows'!F15</f>
        <v>-73000</v>
      </c>
      <c r="J17" s="36">
        <f>'Cash Flows'!F16</f>
        <v>111140</v>
      </c>
      <c r="K17" s="36">
        <f>'Cash Flows'!F17</f>
        <v>114275.2</v>
      </c>
      <c r="L17" s="36">
        <f>'Cash Flows'!F18</f>
        <v>117496.496</v>
      </c>
      <c r="M17" s="36">
        <f>'Cash Flows'!F19</f>
        <v>120806.1525</v>
      </c>
      <c r="N17" s="36">
        <f>'Cash Flows'!F20</f>
        <v>124206.4891</v>
      </c>
      <c r="O17" s="36">
        <f>'Cash Flows'!F25</f>
        <v>-135000</v>
      </c>
      <c r="P17" s="36">
        <f>'Cash Flows'!F26</f>
        <v>338962.5</v>
      </c>
      <c r="Q17" s="36">
        <f>'Cash Flows'!F27</f>
        <v>348717.375</v>
      </c>
      <c r="R17" s="36">
        <f>'Cash Flows'!F28</f>
        <v>358748.3363</v>
      </c>
      <c r="S17" s="36">
        <f>'Cash Flows'!F29</f>
        <v>369063.0039</v>
      </c>
      <c r="T17" s="36">
        <f>'Cash Flows'!F30</f>
        <v>379669.2004</v>
      </c>
      <c r="U17" s="36">
        <f>'Cash Flows'!F35</f>
        <v>-73000</v>
      </c>
      <c r="V17" s="36">
        <f>'Cash Flows'!F36</f>
        <v>157220</v>
      </c>
      <c r="W17" s="36">
        <f>'Cash Flows'!F37</f>
        <v>161761.6</v>
      </c>
      <c r="X17" s="36">
        <f>'Cash Flows'!F38</f>
        <v>166432.448</v>
      </c>
      <c r="Y17" s="36">
        <f>'Cash Flows'!F39</f>
        <v>171236.1414</v>
      </c>
      <c r="Z17" s="36">
        <f>'Cash Flows'!F40</f>
        <v>176176.3745</v>
      </c>
      <c r="AA17" s="34"/>
      <c r="AB17" s="34"/>
      <c r="AC17" s="34"/>
      <c r="AD17" s="34"/>
      <c r="AE17" s="12">
        <f t="array" ref="AE17">NPV(0.12,D17,E17,F17,G17,H17)+C17</f>
        <v>671851.3409</v>
      </c>
      <c r="AF17" s="12">
        <f t="array" ref="AF17">NPV(0.12,J17,K17,L17,M17,N17)+I17</f>
        <v>348215.9092</v>
      </c>
      <c r="AG17" s="12">
        <f t="array" ref="AG17">NPV(0.12,P17,Q17,R17,S17,T17)+O17</f>
        <v>1150971.137</v>
      </c>
      <c r="AH17" s="12">
        <f t="array" ref="AH17">NPV(0.12,V17,W17,X17,Y17,Z17)+U17</f>
        <v>523584.556</v>
      </c>
      <c r="AI17" s="12">
        <f t="shared" si="2"/>
        <v>1150971.137</v>
      </c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ht="27.75" customHeight="1">
      <c r="A19" s="5" t="s">
        <v>117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/>
    </row>
    <row r="20" ht="27.75" customHeight="1">
      <c r="A20" s="3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/>
    </row>
    <row r="21" ht="69.75" customHeight="1">
      <c r="A21" s="8" t="s">
        <v>62</v>
      </c>
      <c r="B21" s="8" t="s">
        <v>118</v>
      </c>
      <c r="C21" s="8" t="s">
        <v>119</v>
      </c>
      <c r="D21" s="8" t="s">
        <v>120</v>
      </c>
      <c r="E21" s="8" t="s">
        <v>121</v>
      </c>
      <c r="F21" s="8" t="s">
        <v>122</v>
      </c>
      <c r="G21" s="8" t="s">
        <v>123</v>
      </c>
      <c r="H21" s="8" t="s">
        <v>124</v>
      </c>
      <c r="I21" s="8" t="s">
        <v>125</v>
      </c>
      <c r="J21" s="8" t="s">
        <v>126</v>
      </c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8" t="s">
        <v>99</v>
      </c>
      <c r="AF21" s="8" t="s">
        <v>100</v>
      </c>
      <c r="AG21" s="8" t="s">
        <v>101</v>
      </c>
      <c r="AH21" s="8" t="s">
        <v>102</v>
      </c>
      <c r="AI21" s="8" t="s">
        <v>103</v>
      </c>
    </row>
    <row r="22" ht="27.75" customHeight="1">
      <c r="A22" s="34" t="s">
        <v>127</v>
      </c>
      <c r="B22" s="40">
        <v>0.7</v>
      </c>
      <c r="C22" s="36">
        <f>Inputs!B13*0.7</f>
        <v>59500</v>
      </c>
      <c r="D22" s="36">
        <f>C22+Inputs!B14</f>
        <v>69500</v>
      </c>
      <c r="E22" s="36">
        <f>Inputs!C13*0.7</f>
        <v>45500</v>
      </c>
      <c r="F22" s="36">
        <f>E22+Inputs!C14</f>
        <v>53500</v>
      </c>
      <c r="G22" s="36">
        <f>Inputs!D13*0.7</f>
        <v>84000</v>
      </c>
      <c r="H22" s="36">
        <f>G22+Inputs!D14</f>
        <v>99000</v>
      </c>
      <c r="I22" s="36">
        <f>Inputs!F13*0.7</f>
        <v>45500</v>
      </c>
      <c r="J22" s="36">
        <f>I22+Inputs!F14</f>
        <v>53500</v>
      </c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12">
        <f t="array" ref="AE22">NPV(Inputs!B24,'Cash Flows'!F6:F10)-D22</f>
        <v>781614.57</v>
      </c>
      <c r="AF22" s="12">
        <f t="array" ref="AF22">NPV(Inputs!C24,'Cash Flows'!F16:F20)-F22</f>
        <v>413981.4572</v>
      </c>
      <c r="AG22" s="12">
        <f t="array" ref="AG22">NPV(Inputs!D24,'Cash Flows'!F26:F30)-H22</f>
        <v>1328277.909</v>
      </c>
      <c r="AH22" s="12">
        <f t="array" ref="AH22">NPV(Inputs!F24,'Cash Flows'!F36:F40)-J22</f>
        <v>608644.3726</v>
      </c>
      <c r="AI22" s="12">
        <f t="shared" ref="AI22:AI25" si="3">MAX(AE22,AF22,AG22,AH22)</f>
        <v>1328277.909</v>
      </c>
    </row>
    <row r="23" ht="27.75" customHeight="1">
      <c r="A23" s="37" t="s">
        <v>128</v>
      </c>
      <c r="B23" s="41">
        <v>1.0</v>
      </c>
      <c r="C23" s="36">
        <f>Inputs!B13*1</f>
        <v>85000</v>
      </c>
      <c r="D23" s="36">
        <f>C23+Inputs!B14</f>
        <v>95000</v>
      </c>
      <c r="E23" s="36">
        <f>Inputs!C13*1</f>
        <v>65000</v>
      </c>
      <c r="F23" s="36">
        <f>E23+Inputs!C14</f>
        <v>73000</v>
      </c>
      <c r="G23" s="36">
        <f>Inputs!D13*1</f>
        <v>120000</v>
      </c>
      <c r="H23" s="36">
        <f>G23+Inputs!D14</f>
        <v>135000</v>
      </c>
      <c r="I23" s="36">
        <f>Inputs!F13*1</f>
        <v>65000</v>
      </c>
      <c r="J23" s="36">
        <f>I23+Inputs!F14</f>
        <v>73000</v>
      </c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9">
        <f t="array" ref="AE23">NPV(Inputs!B24,'Cash Flows'!F6:F10)-D23</f>
        <v>756114.57</v>
      </c>
      <c r="AF23" s="39">
        <f t="array" ref="AF23">NPV(Inputs!C24,'Cash Flows'!F16:F20)-F23</f>
        <v>394481.4572</v>
      </c>
      <c r="AG23" s="39">
        <f t="array" ref="AG23">NPV(Inputs!D24,'Cash Flows'!F26:F30)-H23</f>
        <v>1292277.909</v>
      </c>
      <c r="AH23" s="39">
        <f t="array" ref="AH23">NPV(Inputs!F24,'Cash Flows'!F36:F40)-J23</f>
        <v>589144.3726</v>
      </c>
      <c r="AI23" s="39">
        <f t="shared" si="3"/>
        <v>1292277.909</v>
      </c>
    </row>
    <row r="24" ht="27.75" customHeight="1">
      <c r="A24" s="34" t="s">
        <v>129</v>
      </c>
      <c r="B24" s="40">
        <v>1.5</v>
      </c>
      <c r="C24" s="36">
        <f>Inputs!B13*1.5</f>
        <v>127500</v>
      </c>
      <c r="D24" s="36">
        <f>C24+Inputs!B14</f>
        <v>137500</v>
      </c>
      <c r="E24" s="36">
        <f>Inputs!C13*1.5</f>
        <v>97500</v>
      </c>
      <c r="F24" s="36">
        <f>E24+Inputs!C14</f>
        <v>105500</v>
      </c>
      <c r="G24" s="36">
        <f>Inputs!D13*1.5</f>
        <v>180000</v>
      </c>
      <c r="H24" s="36">
        <f>G24+Inputs!D14</f>
        <v>195000</v>
      </c>
      <c r="I24" s="36">
        <f>Inputs!F13*1.5</f>
        <v>97500</v>
      </c>
      <c r="J24" s="36">
        <f>I24+Inputs!F14</f>
        <v>105500</v>
      </c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12">
        <f t="array" ref="AE24">NPV(Inputs!B24,'Cash Flows'!F6:F10)-D24</f>
        <v>713614.57</v>
      </c>
      <c r="AF24" s="12">
        <f t="array" ref="AF24">NPV(Inputs!C24,'Cash Flows'!F16:F20)-F24</f>
        <v>361981.4572</v>
      </c>
      <c r="AG24" s="12">
        <f t="array" ref="AG24">NPV(Inputs!D24,'Cash Flows'!F26:F30)-H24</f>
        <v>1232277.909</v>
      </c>
      <c r="AH24" s="12">
        <f t="array" ref="AH24">NPV(Inputs!F24,'Cash Flows'!F36:F40)-J24</f>
        <v>556644.3726</v>
      </c>
      <c r="AI24" s="12">
        <f t="shared" si="3"/>
        <v>1232277.909</v>
      </c>
    </row>
    <row r="25" ht="27.75" customHeight="1">
      <c r="A25" s="34" t="s">
        <v>130</v>
      </c>
      <c r="B25" s="40">
        <v>2.0</v>
      </c>
      <c r="C25" s="36">
        <f>Inputs!B13*2</f>
        <v>170000</v>
      </c>
      <c r="D25" s="36">
        <f>C25+Inputs!B14</f>
        <v>180000</v>
      </c>
      <c r="E25" s="36">
        <f>Inputs!C13*2</f>
        <v>130000</v>
      </c>
      <c r="F25" s="36">
        <f>E25+Inputs!C14</f>
        <v>138000</v>
      </c>
      <c r="G25" s="36">
        <f>Inputs!D13*2</f>
        <v>240000</v>
      </c>
      <c r="H25" s="36">
        <f>G25+Inputs!D14</f>
        <v>255000</v>
      </c>
      <c r="I25" s="36">
        <f>Inputs!F13*2</f>
        <v>130000</v>
      </c>
      <c r="J25" s="36">
        <f>I25+Inputs!F14</f>
        <v>138000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12">
        <f t="array" ref="AE25">NPV(Inputs!B24,'Cash Flows'!F6:F10)-D25</f>
        <v>671114.57</v>
      </c>
      <c r="AF25" s="12">
        <f t="array" ref="AF25">NPV(Inputs!C24,'Cash Flows'!F16:F20)-F25</f>
        <v>329481.4572</v>
      </c>
      <c r="AG25" s="12">
        <f t="array" ref="AG25">NPV(Inputs!D24,'Cash Flows'!F26:F30)-H25</f>
        <v>1172277.909</v>
      </c>
      <c r="AH25" s="12">
        <f t="array" ref="AH25">NPV(Inputs!F24,'Cash Flows'!F36:F40)-J25</f>
        <v>524144.3726</v>
      </c>
      <c r="AI25" s="12">
        <f t="shared" si="3"/>
        <v>1172277.909</v>
      </c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ht="27.75" customHeight="1">
      <c r="A27" s="5" t="s">
        <v>131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3"/>
    </row>
    <row r="28" ht="27.75" customHeight="1">
      <c r="A28" s="3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3"/>
    </row>
    <row r="29" ht="55.5" customHeight="1">
      <c r="A29" s="8" t="s">
        <v>62</v>
      </c>
      <c r="B29" s="8" t="s">
        <v>132</v>
      </c>
      <c r="C29" s="8" t="s">
        <v>71</v>
      </c>
      <c r="D29" s="8" t="s">
        <v>72</v>
      </c>
      <c r="E29" s="8" t="s">
        <v>73</v>
      </c>
      <c r="F29" s="8" t="s">
        <v>74</v>
      </c>
      <c r="G29" s="8" t="s">
        <v>75</v>
      </c>
      <c r="H29" s="8" t="s">
        <v>76</v>
      </c>
      <c r="I29" s="8" t="s">
        <v>77</v>
      </c>
      <c r="J29" s="8" t="s">
        <v>78</v>
      </c>
      <c r="K29" s="8" t="s">
        <v>79</v>
      </c>
      <c r="L29" s="8" t="s">
        <v>80</v>
      </c>
      <c r="M29" s="8" t="s">
        <v>81</v>
      </c>
      <c r="N29" s="8" t="s">
        <v>82</v>
      </c>
      <c r="O29" s="8" t="s">
        <v>83</v>
      </c>
      <c r="P29" s="8" t="s">
        <v>84</v>
      </c>
      <c r="Q29" s="8" t="s">
        <v>85</v>
      </c>
      <c r="R29" s="8" t="s">
        <v>86</v>
      </c>
      <c r="S29" s="8" t="s">
        <v>87</v>
      </c>
      <c r="T29" s="8" t="s">
        <v>88</v>
      </c>
      <c r="U29" s="8" t="s">
        <v>89</v>
      </c>
      <c r="V29" s="8" t="s">
        <v>90</v>
      </c>
      <c r="W29" s="8" t="s">
        <v>91</v>
      </c>
      <c r="X29" s="8" t="s">
        <v>92</v>
      </c>
      <c r="Y29" s="8" t="s">
        <v>93</v>
      </c>
      <c r="Z29" s="8" t="s">
        <v>94</v>
      </c>
      <c r="AA29" s="8" t="s">
        <v>95</v>
      </c>
      <c r="AB29" s="8" t="s">
        <v>96</v>
      </c>
      <c r="AC29" s="8" t="s">
        <v>97</v>
      </c>
      <c r="AD29" s="8" t="s">
        <v>98</v>
      </c>
      <c r="AE29" s="8" t="s">
        <v>99</v>
      </c>
      <c r="AF29" s="8" t="s">
        <v>100</v>
      </c>
      <c r="AG29" s="8" t="s">
        <v>101</v>
      </c>
      <c r="AH29" s="8" t="s">
        <v>102</v>
      </c>
      <c r="AI29" s="8" t="s">
        <v>103</v>
      </c>
    </row>
    <row r="30" ht="39.75" customHeight="1">
      <c r="A30" s="34" t="s">
        <v>133</v>
      </c>
      <c r="B30" s="42">
        <v>5000.0</v>
      </c>
      <c r="C30" s="36">
        <f>Inputs!B7*Inputs!B8*Inputs!B10</f>
        <v>227136</v>
      </c>
      <c r="D30" s="36">
        <f>5000+Inputs!B18</f>
        <v>12000</v>
      </c>
      <c r="E30" s="36">
        <f>C30*(1+Inputs!B21)^0-D30*(1+Inputs!B22)^0</f>
        <v>215136</v>
      </c>
      <c r="F30" s="36">
        <f>C30*(1+Inputs!B21)^1-D30*(1+Inputs!B22)^1</f>
        <v>221470.08</v>
      </c>
      <c r="G30" s="36">
        <f>C30*(1+Inputs!B21)^2-D30*(1+Inputs!B22)^2</f>
        <v>227989.3824</v>
      </c>
      <c r="H30" s="36">
        <f>C30*(1+Inputs!B21)^3-D30*(1+Inputs!B22)^3</f>
        <v>234699.2719</v>
      </c>
      <c r="I30" s="36">
        <f>C30*(1+Inputs!B21)^4-D30*(1+Inputs!B22)^4</f>
        <v>241605.2663</v>
      </c>
      <c r="J30" s="36">
        <f>Inputs!C7*Inputs!C8*Inputs!C10</f>
        <v>131040</v>
      </c>
      <c r="K30" s="36">
        <f>5000+Inputs!C18</f>
        <v>10500</v>
      </c>
      <c r="L30" s="36">
        <f>J30*(1+Inputs!C21)^0-K30*(1+Inputs!C22)^0</f>
        <v>120540</v>
      </c>
      <c r="M30" s="36">
        <f>J30*(1+Inputs!C21)^1-K30*(1+Inputs!C22)^1</f>
        <v>124051.2</v>
      </c>
      <c r="N30" s="36">
        <f>J30*(1+Inputs!C21)^2-K30*(1+Inputs!C22)^2</f>
        <v>127663.536</v>
      </c>
      <c r="O30" s="36">
        <f>J30*(1+Inputs!C21)^3-K30*(1+Inputs!C22)^3</f>
        <v>131379.8741</v>
      </c>
      <c r="P30" s="36">
        <f>J30*(1+Inputs!C21)^4-K30*(1+Inputs!C22)^4</f>
        <v>135203.1596</v>
      </c>
      <c r="Q30" s="36">
        <f>Inputs!D7*Inputs!D8*Inputs!D10</f>
        <v>380362.5</v>
      </c>
      <c r="R30" s="36">
        <f>5000+Inputs!D18</f>
        <v>14000</v>
      </c>
      <c r="S30" s="36">
        <f>Q30*(1+Inputs!D21)^0-R30*(1+Inputs!D22)^0</f>
        <v>366362.5</v>
      </c>
      <c r="T30" s="36">
        <f>Q30*(1+Inputs!D21)^1-R30*(1+Inputs!D22)^1</f>
        <v>377213.375</v>
      </c>
      <c r="U30" s="36">
        <f>Q30*(1+Inputs!D21)^2-R30*(1+Inputs!D22)^2</f>
        <v>388384.1763</v>
      </c>
      <c r="V30" s="36">
        <f>Q30*(1+Inputs!D21)^3-R30*(1+Inputs!D22)^3</f>
        <v>399884.2775</v>
      </c>
      <c r="W30" s="36">
        <f>Q30*(1+Inputs!D21)^4-R30*(1+Inputs!D22)^4</f>
        <v>411723.3249</v>
      </c>
      <c r="X30" s="36">
        <f>Inputs!F7*Inputs!F8*Inputs!F10</f>
        <v>174720</v>
      </c>
      <c r="Y30" s="36">
        <f>5000+Inputs!F18</f>
        <v>10500</v>
      </c>
      <c r="Z30" s="36">
        <f>X30*(1+Inputs!F21)^0-Y30*(1+Inputs!F22)^0</f>
        <v>164220</v>
      </c>
      <c r="AA30" s="36">
        <f>X30*(1+Inputs!F21)^1-Y30*(1+Inputs!F22)^1</f>
        <v>169041.6</v>
      </c>
      <c r="AB30" s="36">
        <f>X30*(1+Inputs!F21)^2-Y30*(1+Inputs!F22)^2</f>
        <v>174003.648</v>
      </c>
      <c r="AC30" s="36">
        <f>X30*(1+Inputs!F21)^3-Y30*(1+Inputs!F22)^3</f>
        <v>179110.1894</v>
      </c>
      <c r="AD30" s="36">
        <f>X30*(1+Inputs!F21)^4-Y30*(1+Inputs!F22)^4</f>
        <v>184365.3844</v>
      </c>
      <c r="AE30" s="12">
        <f t="array" ref="AE30">NPV(Inputs!B24,E30,F30,G30,H30,I30)-(Inputs!B13+Inputs!B14)</f>
        <v>812003.6753</v>
      </c>
      <c r="AF30" s="12">
        <f t="array" ref="AF30">NPV(Inputs!C24,L30,M30,N30,O30,P30)-(Inputs!C13+Inputs!C14)</f>
        <v>434893.5796</v>
      </c>
      <c r="AG30" s="12">
        <f t="array" ref="AG30">NPV(Inputs!D24,S30,T30,U30,V30,W30)-(Inputs!D13+Inputs!D14)</f>
        <v>1410074.946</v>
      </c>
      <c r="AH30" s="12">
        <f t="array" ref="AH30">NPV(Inputs!F24,Z30,AA30,AB30,AC30,AD30)-(Inputs!F13+Inputs!F14)</f>
        <v>619238.5062</v>
      </c>
      <c r="AI30" s="12">
        <f t="shared" ref="AI30:AI33" si="4">MAX(AE30,AF30,AG30,AH30)</f>
        <v>1410074.946</v>
      </c>
    </row>
    <row r="31" ht="57.75" customHeight="1">
      <c r="A31" s="37" t="s">
        <v>134</v>
      </c>
      <c r="B31" s="37" t="s">
        <v>135</v>
      </c>
      <c r="C31" s="36">
        <f>Inputs!B7*Inputs!B8*Inputs!B10</f>
        <v>227136</v>
      </c>
      <c r="D31" s="36">
        <f>Inputs!B17+Inputs!B18</f>
        <v>25000</v>
      </c>
      <c r="E31" s="36">
        <f>C31*(1+Inputs!B21)^0-D31*(1+Inputs!B22)^0</f>
        <v>202136</v>
      </c>
      <c r="F31" s="36">
        <f>C31*(1+Inputs!B21)^1-D31*(1+Inputs!B22)^1</f>
        <v>207950.08</v>
      </c>
      <c r="G31" s="36">
        <f>C31*(1+Inputs!B21)^2-D31*(1+Inputs!B22)^2</f>
        <v>213928.5824</v>
      </c>
      <c r="H31" s="36">
        <f>C31*(1+Inputs!B21)^3-D31*(1+Inputs!B22)^3</f>
        <v>220076.0399</v>
      </c>
      <c r="I31" s="36">
        <f>C31*(1+Inputs!B21)^4-D31*(1+Inputs!B22)^4</f>
        <v>226397.1051</v>
      </c>
      <c r="J31" s="36">
        <f>Inputs!C7*Inputs!C8*Inputs!C10</f>
        <v>131040</v>
      </c>
      <c r="K31" s="36">
        <f>Inputs!C17+Inputs!C18</f>
        <v>19900</v>
      </c>
      <c r="L31" s="36">
        <f>J31*(1+Inputs!C21)^0-K31*(1+Inputs!C22)^0</f>
        <v>111140</v>
      </c>
      <c r="M31" s="36">
        <f>J31*(1+Inputs!C21)^1-K31*(1+Inputs!C22)^1</f>
        <v>114275.2</v>
      </c>
      <c r="N31" s="36">
        <f>J31*(1+Inputs!C21)^2-K31*(1+Inputs!C22)^2</f>
        <v>117496.496</v>
      </c>
      <c r="O31" s="36">
        <f>J31*(1+Inputs!C21)^3-K31*(1+Inputs!C22)^3</f>
        <v>120806.1525</v>
      </c>
      <c r="P31" s="36">
        <f>J31*(1+Inputs!C21)^4-K31*(1+Inputs!C22)^4</f>
        <v>124206.4891</v>
      </c>
      <c r="Q31" s="36">
        <f>Inputs!D7*Inputs!D8*Inputs!D10</f>
        <v>380362.5</v>
      </c>
      <c r="R31" s="36">
        <f>Inputs!D17+Inputs!D18</f>
        <v>41400</v>
      </c>
      <c r="S31" s="36">
        <f>Q31*(1+Inputs!D21)^0-R31*(1+Inputs!D22)^0</f>
        <v>338962.5</v>
      </c>
      <c r="T31" s="36">
        <f>Q31*(1+Inputs!D21)^1-R31*(1+Inputs!D22)^1</f>
        <v>348717.375</v>
      </c>
      <c r="U31" s="36">
        <f>Q31*(1+Inputs!D21)^2-R31*(1+Inputs!D22)^2</f>
        <v>358748.3363</v>
      </c>
      <c r="V31" s="36">
        <f>Q31*(1+Inputs!D21)^3-R31*(1+Inputs!D22)^3</f>
        <v>369063.0039</v>
      </c>
      <c r="W31" s="36">
        <f>Q31*(1+Inputs!D21)^4-R31*(1+Inputs!D22)^4</f>
        <v>379669.2004</v>
      </c>
      <c r="X31" s="36">
        <f>Inputs!F7*Inputs!F8*Inputs!F10</f>
        <v>174720</v>
      </c>
      <c r="Y31" s="36">
        <f>Inputs!F17+Inputs!F18</f>
        <v>17500</v>
      </c>
      <c r="Z31" s="36">
        <f>X31*(1+Inputs!F21)^0-Y31*(1+Inputs!F22)^0</f>
        <v>157220</v>
      </c>
      <c r="AA31" s="36">
        <f>X31*(1+Inputs!F21)^1-Y31*(1+Inputs!F22)^1</f>
        <v>161761.6</v>
      </c>
      <c r="AB31" s="36">
        <f>X31*(1+Inputs!F21)^2-Y31*(1+Inputs!F22)^2</f>
        <v>166432.448</v>
      </c>
      <c r="AC31" s="36">
        <f>X31*(1+Inputs!F21)^3-Y31*(1+Inputs!F22)^3</f>
        <v>171236.1414</v>
      </c>
      <c r="AD31" s="36">
        <f>X31*(1+Inputs!F21)^4-Y31*(1+Inputs!F22)^4</f>
        <v>176176.3745</v>
      </c>
      <c r="AE31" s="39">
        <f t="array" ref="AE31">NPV(Inputs!B24,E31,F31,G31,H31,I31)-(Inputs!B13+Inputs!B14)</f>
        <v>756114.57</v>
      </c>
      <c r="AF31" s="39">
        <f t="array" ref="AF31">NPV(Inputs!C24,L31,M31,N31,O31,P31)-(Inputs!C13+Inputs!C14)</f>
        <v>394481.4572</v>
      </c>
      <c r="AG31" s="39">
        <f t="array" ref="AG31">NPV(Inputs!D24,S31,T31,U31,V31,W31)-(Inputs!D13+Inputs!D14)</f>
        <v>1292277.909</v>
      </c>
      <c r="AH31" s="39">
        <f t="array" ref="AH31">NPV(Inputs!F24,Z31,AA31,AB31,AC31,AD31)-(Inputs!F13+Inputs!F14)</f>
        <v>589144.3726</v>
      </c>
      <c r="AI31" s="39">
        <f t="shared" si="4"/>
        <v>1292277.909</v>
      </c>
    </row>
    <row r="32" ht="51.0" customHeight="1">
      <c r="A32" s="34" t="s">
        <v>136</v>
      </c>
      <c r="B32" s="42">
        <v>25000.0</v>
      </c>
      <c r="C32" s="36">
        <f>Inputs!B7*Inputs!B8*Inputs!B10</f>
        <v>227136</v>
      </c>
      <c r="D32" s="36">
        <f>25000+Inputs!B18</f>
        <v>32000</v>
      </c>
      <c r="E32" s="36">
        <f>C32*(1+Inputs!B21)^0-D32*(1+Inputs!B22)^0</f>
        <v>195136</v>
      </c>
      <c r="F32" s="36">
        <f>C32*(1+Inputs!B21)^1-D32*(1+Inputs!B22)^1</f>
        <v>200670.08</v>
      </c>
      <c r="G32" s="36">
        <f>C32*(1+Inputs!B21)^2-D32*(1+Inputs!B22)^2</f>
        <v>206357.3824</v>
      </c>
      <c r="H32" s="36">
        <f>C32*(1+Inputs!B21)^3-D32*(1+Inputs!B22)^3</f>
        <v>212201.9919</v>
      </c>
      <c r="I32" s="36">
        <f>C32*(1+Inputs!B21)^4-D32*(1+Inputs!B22)^4</f>
        <v>218208.0951</v>
      </c>
      <c r="J32" s="36">
        <f>Inputs!C7*Inputs!C8*Inputs!C10</f>
        <v>131040</v>
      </c>
      <c r="K32" s="36">
        <f>25000+Inputs!C18</f>
        <v>30500</v>
      </c>
      <c r="L32" s="36">
        <f>J32*(1+Inputs!C21)^0-K32*(1+Inputs!C22)^0</f>
        <v>100540</v>
      </c>
      <c r="M32" s="36">
        <f>J32*(1+Inputs!C21)^1-K32*(1+Inputs!C22)^1</f>
        <v>103251.2</v>
      </c>
      <c r="N32" s="36">
        <f>J32*(1+Inputs!C21)^2-K32*(1+Inputs!C22)^2</f>
        <v>106031.536</v>
      </c>
      <c r="O32" s="36">
        <f>J32*(1+Inputs!C21)^3-K32*(1+Inputs!C22)^3</f>
        <v>108882.5941</v>
      </c>
      <c r="P32" s="36">
        <f>J32*(1+Inputs!C21)^4-K32*(1+Inputs!C22)^4</f>
        <v>111805.9884</v>
      </c>
      <c r="Q32" s="36">
        <f>Inputs!D7*Inputs!D8*Inputs!D10</f>
        <v>380362.5</v>
      </c>
      <c r="R32" s="36">
        <f>25000+Inputs!D18</f>
        <v>34000</v>
      </c>
      <c r="S32" s="36">
        <f>Q32*(1+Inputs!D21)^0-R32*(1+Inputs!D22)^0</f>
        <v>346362.5</v>
      </c>
      <c r="T32" s="36">
        <f>Q32*(1+Inputs!D21)^1-R32*(1+Inputs!D22)^1</f>
        <v>356413.375</v>
      </c>
      <c r="U32" s="36">
        <f>Q32*(1+Inputs!D21)^2-R32*(1+Inputs!D22)^2</f>
        <v>366752.1763</v>
      </c>
      <c r="V32" s="36">
        <f>Q32*(1+Inputs!D21)^3-R32*(1+Inputs!D22)^3</f>
        <v>377386.9975</v>
      </c>
      <c r="W32" s="36">
        <f>Q32*(1+Inputs!D21)^4-R32*(1+Inputs!D22)^4</f>
        <v>388326.1537</v>
      </c>
      <c r="X32" s="36">
        <f>Inputs!F7*Inputs!F8*Inputs!F10</f>
        <v>174720</v>
      </c>
      <c r="Y32" s="36">
        <f>25000+Inputs!F18</f>
        <v>30500</v>
      </c>
      <c r="Z32" s="36">
        <f>X32*(1+Inputs!F21)^0-Y32*(1+Inputs!F22)^0</f>
        <v>144220</v>
      </c>
      <c r="AA32" s="36">
        <f>X32*(1+Inputs!F21)^1-Y32*(1+Inputs!F22)^1</f>
        <v>148241.6</v>
      </c>
      <c r="AB32" s="36">
        <f>X32*(1+Inputs!F21)^2-Y32*(1+Inputs!F22)^2</f>
        <v>152371.648</v>
      </c>
      <c r="AC32" s="36">
        <f>X32*(1+Inputs!F21)^3-Y32*(1+Inputs!F22)^3</f>
        <v>156612.9094</v>
      </c>
      <c r="AD32" s="36">
        <f>X32*(1+Inputs!F21)^4-Y32*(1+Inputs!F22)^4</f>
        <v>160968.2132</v>
      </c>
      <c r="AE32" s="12">
        <f t="array" ref="AE32">NPV(Inputs!B24,E32,F32,G32,H32,I32)-(Inputs!B13+Inputs!B14)</f>
        <v>726020.4363</v>
      </c>
      <c r="AF32" s="12">
        <f t="array" ref="AF32">NPV(Inputs!C24,L32,M32,N32,O32,P32)-(Inputs!C13+Inputs!C14)</f>
        <v>348910.3406</v>
      </c>
      <c r="AG32" s="12">
        <f t="array" ref="AG32">NPV(Inputs!D24,S32,T32,U32,V32,W32)-(Inputs!D13+Inputs!D14)</f>
        <v>1324091.707</v>
      </c>
      <c r="AH32" s="12">
        <f t="array" ref="AH32">NPV(Inputs!F24,Z32,AA32,AB32,AC32,AD32)-(Inputs!F13+Inputs!F14)</f>
        <v>533255.2672</v>
      </c>
      <c r="AI32" s="12">
        <f t="shared" si="4"/>
        <v>1324091.707</v>
      </c>
    </row>
    <row r="33" ht="54.0" customHeight="1">
      <c r="A33" s="34" t="s">
        <v>137</v>
      </c>
      <c r="B33" s="42">
        <v>40000.0</v>
      </c>
      <c r="C33" s="36">
        <f>Inputs!B7*Inputs!B8*Inputs!B10</f>
        <v>227136</v>
      </c>
      <c r="D33" s="36">
        <f>40000+Inputs!B18</f>
        <v>47000</v>
      </c>
      <c r="E33" s="36">
        <f>C33*(1+Inputs!B21)^0-D33*(1+Inputs!B22)^0</f>
        <v>180136</v>
      </c>
      <c r="F33" s="36">
        <f>C33*(1+Inputs!B21)^1-D33*(1+Inputs!B22)^1</f>
        <v>185070.08</v>
      </c>
      <c r="G33" s="36">
        <f>C33*(1+Inputs!B21)^2-D33*(1+Inputs!B22)^2</f>
        <v>190133.3824</v>
      </c>
      <c r="H33" s="36">
        <f>C33*(1+Inputs!B21)^3-D33*(1+Inputs!B22)^3</f>
        <v>195329.0319</v>
      </c>
      <c r="I33" s="36">
        <f>C33*(1+Inputs!B21)^4-D33*(1+Inputs!B22)^4</f>
        <v>200660.2167</v>
      </c>
      <c r="J33" s="36">
        <f>Inputs!C7*Inputs!C8*Inputs!C10</f>
        <v>131040</v>
      </c>
      <c r="K33" s="36">
        <f>40000+Inputs!C18</f>
        <v>45500</v>
      </c>
      <c r="L33" s="36">
        <f>J33*(1+Inputs!C21)^0-K33*(1+Inputs!C22)^0</f>
        <v>85540</v>
      </c>
      <c r="M33" s="36">
        <f>J33*(1+Inputs!C21)^1-K33*(1+Inputs!C22)^1</f>
        <v>87651.2</v>
      </c>
      <c r="N33" s="36">
        <f>J33*(1+Inputs!C21)^2-K33*(1+Inputs!C22)^2</f>
        <v>89807.536</v>
      </c>
      <c r="O33" s="36">
        <f>J33*(1+Inputs!C21)^3-K33*(1+Inputs!C22)^3</f>
        <v>92009.63408</v>
      </c>
      <c r="P33" s="36">
        <f>J33*(1+Inputs!C21)^4-K33*(1+Inputs!C22)^4</f>
        <v>94258.10998</v>
      </c>
      <c r="Q33" s="36">
        <f>Inputs!D7*Inputs!D8*Inputs!D10</f>
        <v>380362.5</v>
      </c>
      <c r="R33" s="36">
        <f>40000+Inputs!D18</f>
        <v>49000</v>
      </c>
      <c r="S33" s="36">
        <f>Q33*(1+Inputs!D21)^0-R33*(1+Inputs!D22)^0</f>
        <v>331362.5</v>
      </c>
      <c r="T33" s="36">
        <f>Q33*(1+Inputs!D21)^1-R33*(1+Inputs!D22)^1</f>
        <v>340813.375</v>
      </c>
      <c r="U33" s="36">
        <f>Q33*(1+Inputs!D21)^2-R33*(1+Inputs!D22)^2</f>
        <v>350528.1763</v>
      </c>
      <c r="V33" s="36">
        <f>Q33*(1+Inputs!D21)^3-R33*(1+Inputs!D22)^3</f>
        <v>360514.0375</v>
      </c>
      <c r="W33" s="36">
        <f>Q33*(1+Inputs!D21)^4-R33*(1+Inputs!D22)^4</f>
        <v>370778.2753</v>
      </c>
      <c r="X33" s="36">
        <f>Inputs!F7*Inputs!F8*Inputs!F10</f>
        <v>174720</v>
      </c>
      <c r="Y33" s="36">
        <f>40000+Inputs!F18</f>
        <v>45500</v>
      </c>
      <c r="Z33" s="36">
        <f>X33*(1+Inputs!F21)^0-Y33*(1+Inputs!F22)^0</f>
        <v>129220</v>
      </c>
      <c r="AA33" s="36">
        <f>X33*(1+Inputs!F21)^1-Y33*(1+Inputs!F22)^1</f>
        <v>132641.6</v>
      </c>
      <c r="AB33" s="36">
        <f>X33*(1+Inputs!F21)^2-Y33*(1+Inputs!F22)^2</f>
        <v>136147.648</v>
      </c>
      <c r="AC33" s="36">
        <f>X33*(1+Inputs!F21)^3-Y33*(1+Inputs!F22)^3</f>
        <v>139739.9494</v>
      </c>
      <c r="AD33" s="36">
        <f>X33*(1+Inputs!F21)^4-Y33*(1+Inputs!F22)^4</f>
        <v>143420.3348</v>
      </c>
      <c r="AE33" s="12">
        <f t="array" ref="AE33">NPV(Inputs!B24,E33,F33,G33,H33,I33)-(Inputs!B13+Inputs!B14)</f>
        <v>661533.0071</v>
      </c>
      <c r="AF33" s="12">
        <f t="array" ref="AF33">NPV(Inputs!C24,L33,M33,N33,O33,P33)-(Inputs!C13+Inputs!C14)</f>
        <v>284422.9113</v>
      </c>
      <c r="AG33" s="12">
        <f t="array" ref="AG33">NPV(Inputs!D24,S33,T33,U33,V33,W33)-(Inputs!D13+Inputs!D14)</f>
        <v>1259604.278</v>
      </c>
      <c r="AH33" s="12">
        <f t="array" ref="AH33">NPV(Inputs!F24,Z33,AA33,AB33,AC33,AD33)-(Inputs!F13+Inputs!F14)</f>
        <v>468767.838</v>
      </c>
      <c r="AI33" s="12">
        <f t="shared" si="4"/>
        <v>1259604.278</v>
      </c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</row>
  </sheetData>
  <mergeCells count="15">
    <mergeCell ref="X5:AD5"/>
    <mergeCell ref="AE5:AH5"/>
    <mergeCell ref="A11:AI11"/>
    <mergeCell ref="A12:AI12"/>
    <mergeCell ref="A19:AI19"/>
    <mergeCell ref="A20:AI20"/>
    <mergeCell ref="A27:AI27"/>
    <mergeCell ref="A28:AI28"/>
    <mergeCell ref="A1:AI1"/>
    <mergeCell ref="A2:AI2"/>
    <mergeCell ref="A3:AI3"/>
    <mergeCell ref="A4:AI4"/>
    <mergeCell ref="C5:I5"/>
    <mergeCell ref="J5:P5"/>
    <mergeCell ref="Q5:W5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8.29"/>
    <col customWidth="1" min="3" max="3" width="34.0"/>
    <col customWidth="1" min="4" max="4" width="34.71"/>
    <col customWidth="1" min="5" max="5" width="52.0"/>
    <col customWidth="1" min="6" max="6" width="44.86"/>
    <col customWidth="1" min="7" max="31" width="8.71"/>
  </cols>
  <sheetData>
    <row r="1" ht="42.0" customHeight="1">
      <c r="A1" s="5" t="s">
        <v>138</v>
      </c>
      <c r="B1" s="2"/>
      <c r="C1" s="2"/>
      <c r="D1" s="2"/>
      <c r="E1" s="2"/>
      <c r="F1" s="3"/>
    </row>
    <row r="2" ht="27.75" customHeight="1">
      <c r="A2" s="43"/>
      <c r="B2" s="2"/>
      <c r="C2" s="2"/>
      <c r="D2" s="2"/>
      <c r="E2" s="2"/>
      <c r="F2" s="3"/>
    </row>
    <row r="3" ht="30.0" customHeight="1"/>
    <row r="4" ht="30.0" customHeight="1">
      <c r="B4" s="7" t="s">
        <v>3</v>
      </c>
      <c r="C4" s="7" t="s">
        <v>4</v>
      </c>
      <c r="D4" s="7" t="s">
        <v>5</v>
      </c>
      <c r="E4" s="7" t="s">
        <v>139</v>
      </c>
    </row>
    <row r="5" ht="30.0" customHeight="1">
      <c r="B5" s="25">
        <f>'Economic Metrics'!B4</f>
        <v>756114.57</v>
      </c>
      <c r="C5" s="25">
        <f>'Economic Metrics'!C4</f>
        <v>394481.4572</v>
      </c>
      <c r="D5" s="25">
        <f>'Economic Metrics'!D4</f>
        <v>1292277.909</v>
      </c>
      <c r="E5" s="25">
        <f>'Economic Metrics'!E4</f>
        <v>589144.3726</v>
      </c>
    </row>
    <row r="6" ht="30.0" customHeight="1">
      <c r="B6" s="7" t="s">
        <v>140</v>
      </c>
      <c r="C6" s="7" t="s">
        <v>140</v>
      </c>
      <c r="D6" s="7" t="s">
        <v>140</v>
      </c>
      <c r="E6" s="7" t="s">
        <v>140</v>
      </c>
    </row>
    <row r="7" ht="30.0" customHeight="1"/>
    <row r="8" ht="30.0" customHeight="1"/>
    <row r="9" ht="30.0" customHeight="1">
      <c r="A9" s="44" t="s">
        <v>141</v>
      </c>
      <c r="B9" s="2"/>
      <c r="C9" s="2"/>
      <c r="D9" s="2"/>
      <c r="E9" s="2"/>
      <c r="F9" s="3"/>
    </row>
    <row r="10" ht="57.0" customHeight="1">
      <c r="A10" s="45" t="s">
        <v>42</v>
      </c>
      <c r="B10" s="8" t="s">
        <v>3</v>
      </c>
      <c r="C10" s="8" t="s">
        <v>4</v>
      </c>
      <c r="D10" s="8" t="s">
        <v>5</v>
      </c>
      <c r="E10" s="8" t="s">
        <v>142</v>
      </c>
      <c r="F10" s="46"/>
    </row>
    <row r="11" ht="30.0" customHeight="1">
      <c r="A11" s="45" t="s">
        <v>143</v>
      </c>
      <c r="B11" s="21">
        <f>'Economic Metrics'!B4</f>
        <v>756114.57</v>
      </c>
      <c r="C11" s="21">
        <f>'Economic Metrics'!C4</f>
        <v>394481.4572</v>
      </c>
      <c r="D11" s="21">
        <f>'Economic Metrics'!D4</f>
        <v>1292277.909</v>
      </c>
      <c r="E11" s="21">
        <f>IFERROR('Economic Metrics'!E4,"N/A")</f>
        <v>589144.3726</v>
      </c>
      <c r="F11" s="47"/>
    </row>
    <row r="12" ht="30.0" customHeight="1">
      <c r="A12" s="48" t="s">
        <v>144</v>
      </c>
      <c r="B12" s="29">
        <f>'Economic Metrics'!B5</f>
        <v>2.148581699</v>
      </c>
      <c r="C12" s="29">
        <f>'Economic Metrics'!C5</f>
        <v>1.533916443</v>
      </c>
      <c r="D12" s="29">
        <f>'Economic Metrics'!D5</f>
        <v>2.534360751</v>
      </c>
      <c r="E12" s="29">
        <f>IFERROR('Economic Metrics'!E5,"N/A")</f>
        <v>2.174882755</v>
      </c>
      <c r="F12" s="47"/>
    </row>
    <row r="13" ht="30.0" customHeight="1">
      <c r="A13" s="45" t="s">
        <v>145</v>
      </c>
      <c r="B13" s="30">
        <f>'Economic Metrics'!B11</f>
        <v>5.233739872</v>
      </c>
      <c r="C13" s="30">
        <f>'Economic Metrics'!C11</f>
        <v>3.848271999</v>
      </c>
      <c r="D13" s="30">
        <f>'Economic Metrics'!D11</f>
        <v>5.621367437</v>
      </c>
      <c r="E13" s="30">
        <f>IFERROR('Economic Metrics'!E11,"N/A")</f>
        <v>5.528555258</v>
      </c>
      <c r="F13" s="47"/>
    </row>
    <row r="14" ht="30.0" customHeight="1">
      <c r="A14" s="48" t="s">
        <v>146</v>
      </c>
      <c r="B14" s="10" t="str">
        <f>'Economic Metrics'!B12</f>
        <v>ACCEPT</v>
      </c>
      <c r="C14" s="10" t="str">
        <f>'Economic Metrics'!C12</f>
        <v>ACCEPT</v>
      </c>
      <c r="D14" s="10" t="str">
        <f>'Economic Metrics'!D12</f>
        <v>ACCEPT</v>
      </c>
      <c r="E14" s="10" t="str">
        <f>IFERROR('Economic Metrics'!E12,"N/A")</f>
        <v>ACCEPT</v>
      </c>
      <c r="F14" s="47"/>
    </row>
    <row r="15" ht="30.0" customHeight="1"/>
    <row r="16" ht="30.0" customHeight="1"/>
    <row r="17" ht="30.0" customHeight="1"/>
    <row r="18" ht="30.0" customHeight="1"/>
    <row r="19" ht="30.0" customHeight="1">
      <c r="A19" s="5" t="s">
        <v>147</v>
      </c>
      <c r="B19" s="2"/>
      <c r="C19" s="2"/>
      <c r="D19" s="2"/>
      <c r="E19" s="2"/>
      <c r="F19" s="3"/>
    </row>
    <row r="20" ht="30.0" customHeight="1">
      <c r="A20" s="7" t="s">
        <v>29</v>
      </c>
      <c r="B20" s="7" t="s">
        <v>143</v>
      </c>
      <c r="C20" s="7" t="s">
        <v>148</v>
      </c>
      <c r="D20" s="7" t="s">
        <v>145</v>
      </c>
    </row>
    <row r="21" ht="30.0" customHeight="1">
      <c r="A21" s="49" t="s">
        <v>3</v>
      </c>
      <c r="B21" s="50">
        <f>'Economic Metrics'!B4</f>
        <v>756114.57</v>
      </c>
      <c r="C21" s="51">
        <f>'Economic Metrics'!B5</f>
        <v>2.148581699</v>
      </c>
      <c r="D21" s="52">
        <f>'Economic Metrics'!B11</f>
        <v>5.233739872</v>
      </c>
    </row>
    <row r="22" ht="30.0" customHeight="1">
      <c r="A22" s="49" t="s">
        <v>43</v>
      </c>
      <c r="B22" s="50">
        <f>'Economic Metrics'!C4</f>
        <v>394481.4572</v>
      </c>
      <c r="C22" s="51">
        <f>'Economic Metrics'!C5</f>
        <v>1.533916443</v>
      </c>
      <c r="D22" s="52">
        <f>'Economic Metrics'!C11</f>
        <v>3.848271999</v>
      </c>
    </row>
    <row r="23" ht="30.0" customHeight="1">
      <c r="A23" s="49" t="s">
        <v>44</v>
      </c>
      <c r="B23" s="50">
        <f>'Economic Metrics'!D4</f>
        <v>1292277.909</v>
      </c>
      <c r="C23" s="51">
        <f>'Economic Metrics'!D5</f>
        <v>2.534360751</v>
      </c>
      <c r="D23" s="52">
        <f>'Economic Metrics'!D11</f>
        <v>5.621367437</v>
      </c>
    </row>
    <row r="24" ht="30.0" customHeight="1">
      <c r="A24" s="49" t="s">
        <v>142</v>
      </c>
      <c r="B24" s="53">
        <f>'Economic Metrics'!E4</f>
        <v>589144.3726</v>
      </c>
      <c r="C24" s="54">
        <f>'Economic Metrics'!E5</f>
        <v>2.174882755</v>
      </c>
      <c r="D24" s="55">
        <f>'Economic Metrics'!E11</f>
        <v>5.528555258</v>
      </c>
    </row>
    <row r="25" ht="30.0" customHeight="1"/>
    <row r="26" ht="30.0" customHeight="1">
      <c r="A26" s="5" t="s">
        <v>149</v>
      </c>
      <c r="B26" s="2"/>
      <c r="C26" s="2"/>
      <c r="D26" s="2"/>
      <c r="E26" s="2"/>
      <c r="F26" s="3"/>
    </row>
    <row r="27" ht="30.0" customHeight="1">
      <c r="A27" s="34" t="s">
        <v>42</v>
      </c>
      <c r="B27" s="34" t="s">
        <v>150</v>
      </c>
      <c r="C27" s="34" t="s">
        <v>151</v>
      </c>
      <c r="D27" s="34" t="s">
        <v>59</v>
      </c>
      <c r="E27" s="4"/>
      <c r="F27" s="4"/>
    </row>
    <row r="28" ht="30.0" customHeight="1">
      <c r="A28" s="10" t="s">
        <v>152</v>
      </c>
      <c r="B28" s="11">
        <f>Inputs!F7</f>
        <v>8</v>
      </c>
      <c r="C28" s="9"/>
      <c r="D28" s="9"/>
      <c r="E28" s="4"/>
      <c r="F28" s="4"/>
    </row>
    <row r="29" ht="30.0" customHeight="1">
      <c r="A29" s="10" t="s">
        <v>153</v>
      </c>
      <c r="B29" s="12">
        <f>Inputs!F8</f>
        <v>62400</v>
      </c>
      <c r="C29" s="9"/>
      <c r="D29" s="9"/>
      <c r="E29" s="4"/>
      <c r="F29" s="4"/>
    </row>
    <row r="30" ht="30.0" customHeight="1">
      <c r="A30" s="10" t="s">
        <v>154</v>
      </c>
      <c r="B30" s="13">
        <f>Inputs!F10</f>
        <v>0.35</v>
      </c>
      <c r="C30" s="9"/>
      <c r="D30" s="9"/>
      <c r="E30" s="4"/>
      <c r="F30" s="4"/>
    </row>
    <row r="31" ht="30.0" customHeight="1">
      <c r="A31" s="10" t="s">
        <v>155</v>
      </c>
      <c r="B31" s="12">
        <f>'Economic Metrics'!E10</f>
        <v>73000</v>
      </c>
      <c r="C31" s="9"/>
      <c r="D31" s="9"/>
      <c r="E31" s="4"/>
      <c r="F31" s="4"/>
    </row>
    <row r="32" ht="30.0" customHeight="1">
      <c r="A32" s="10" t="s">
        <v>156</v>
      </c>
      <c r="B32" s="12">
        <f>Inputs!F17</f>
        <v>12000</v>
      </c>
      <c r="C32" s="9"/>
      <c r="D32" s="9"/>
      <c r="E32" s="4"/>
      <c r="F32" s="4"/>
    </row>
    <row r="33" ht="30.0" customHeight="1">
      <c r="A33" s="10" t="s">
        <v>157</v>
      </c>
      <c r="B33" s="12">
        <f>Inputs!F18</f>
        <v>5500</v>
      </c>
      <c r="C33" s="9"/>
      <c r="D33" s="9"/>
      <c r="E33" s="4"/>
      <c r="F33" s="4"/>
    </row>
    <row r="34" ht="30.0" customHeight="1">
      <c r="A34" s="10" t="s">
        <v>158</v>
      </c>
      <c r="B34" s="12">
        <f>'Cash Flows'!C36</f>
        <v>174720</v>
      </c>
      <c r="C34" s="9"/>
      <c r="D34" s="9"/>
      <c r="E34" s="4"/>
      <c r="F34" s="4"/>
    </row>
    <row r="35" ht="30.0" customHeight="1">
      <c r="A35" s="10" t="s">
        <v>27</v>
      </c>
      <c r="B35" s="12">
        <f>'Cash Flows'!F36</f>
        <v>157220</v>
      </c>
      <c r="C35" s="9"/>
      <c r="D35" s="9"/>
      <c r="E35" s="4"/>
      <c r="F35" s="4"/>
    </row>
    <row r="36" ht="30.0" customHeight="1">
      <c r="A36" s="10" t="s">
        <v>159</v>
      </c>
      <c r="B36" s="12">
        <f>'Economic Metrics'!E8</f>
        <v>927612.2087</v>
      </c>
      <c r="C36" s="9"/>
      <c r="D36" s="9"/>
      <c r="E36" s="4"/>
      <c r="F36" s="4"/>
    </row>
    <row r="37" ht="30.0" customHeight="1">
      <c r="A37" s="10" t="s">
        <v>160</v>
      </c>
      <c r="B37" s="12">
        <f>'Economic Metrics'!E9</f>
        <v>94785.6448</v>
      </c>
      <c r="C37" s="9"/>
      <c r="D37" s="9"/>
      <c r="E37" s="4"/>
      <c r="F37" s="4"/>
    </row>
    <row r="38" ht="30.0" customHeight="1">
      <c r="A38" s="10" t="s">
        <v>143</v>
      </c>
      <c r="B38" s="12">
        <f>'Economic Metrics'!E4</f>
        <v>589144.3726</v>
      </c>
      <c r="C38" s="10" t="s">
        <v>161</v>
      </c>
      <c r="D38" s="10" t="str">
        <f>IF('Economic Metrics'!E4&gt;0,"Positive","Negative")</f>
        <v>Positive</v>
      </c>
      <c r="E38" s="4"/>
      <c r="F38" s="4"/>
    </row>
    <row r="39" ht="30.0" customHeight="1">
      <c r="A39" s="10" t="s">
        <v>144</v>
      </c>
      <c r="B39" s="14">
        <f>'Economic Metrics'!E5</f>
        <v>2.174882755</v>
      </c>
      <c r="C39" s="10" t="s">
        <v>162</v>
      </c>
      <c r="D39" s="10" t="str">
        <f>IF('Economic Metrics'!E5&gt;Inputs!F24,"IRR &gt; MARR","IRR &lt; MARR")</f>
        <v>IRR &gt; MARR</v>
      </c>
      <c r="E39" s="4"/>
      <c r="F39" s="4"/>
    </row>
    <row r="40" ht="30.0" customHeight="1">
      <c r="A40" s="10" t="s">
        <v>47</v>
      </c>
      <c r="B40" s="14">
        <f>Inputs!F24</f>
        <v>0.08</v>
      </c>
      <c r="C40" s="9"/>
      <c r="D40" s="9"/>
      <c r="E40" s="4"/>
      <c r="F40" s="4"/>
    </row>
    <row r="41" ht="30.0" customHeight="1">
      <c r="A41" s="10" t="s">
        <v>163</v>
      </c>
      <c r="B41" s="14">
        <f>'Economic Metrics'!E7</f>
        <v>2.094882755</v>
      </c>
      <c r="C41" s="9"/>
      <c r="D41" s="9"/>
      <c r="E41" s="4"/>
      <c r="F41" s="4"/>
    </row>
    <row r="42" ht="30.0" customHeight="1">
      <c r="A42" s="10" t="s">
        <v>164</v>
      </c>
      <c r="B42" s="30">
        <f>'Economic Metrics'!E11</f>
        <v>5.528555258</v>
      </c>
      <c r="C42" s="10" t="s">
        <v>162</v>
      </c>
      <c r="D42" s="10" t="str">
        <f>IF('Economic Metrics'!E11&gt;1,"BCR &gt; 1.0","BCR &lt; 1.0")</f>
        <v>BCR &gt; 1.0</v>
      </c>
      <c r="E42" s="4"/>
      <c r="F42" s="4"/>
    </row>
    <row r="43" ht="30.0" customHeight="1">
      <c r="A43" s="10" t="s">
        <v>165</v>
      </c>
      <c r="B43" s="11">
        <f>IFERROR(IF('Cash Flows'!I36&gt;=0,1,IF('Cash Flows'!I37&gt;=0,2,IF('Cash Flows'!I38&gt;=0,3,IF('Cash Flows'!I39&gt;=0,4,IF('Cash Flows'!I40&gt;=0,5,"&gt;5"))))),"N/A")</f>
        <v>1</v>
      </c>
      <c r="C43" s="9"/>
      <c r="D43" s="9"/>
      <c r="E43" s="4"/>
      <c r="F43" s="4"/>
    </row>
    <row r="44" ht="30.0" customHeight="1">
      <c r="A44" s="10" t="s">
        <v>53</v>
      </c>
      <c r="B44" s="7" t="str">
        <f>'Economic Metrics'!E12</f>
        <v>ACCEPT</v>
      </c>
      <c r="C44" s="9"/>
      <c r="D44" s="56"/>
      <c r="E44" s="4"/>
      <c r="F44" s="4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F1"/>
    <mergeCell ref="A2:F2"/>
    <mergeCell ref="A9:F9"/>
    <mergeCell ref="A19:F19"/>
    <mergeCell ref="A26:F26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5" width="18.0"/>
    <col customWidth="1" min="6" max="6" width="3.0"/>
    <col customWidth="1" min="7" max="10" width="18.0"/>
    <col customWidth="1" min="11" max="11" width="41.86"/>
    <col customWidth="1" min="12" max="12" width="8.71"/>
    <col customWidth="1" min="13" max="13" width="28.0"/>
    <col customWidth="1" min="14" max="21" width="16.0"/>
    <col customWidth="1" min="22" max="26" width="8.71"/>
  </cols>
  <sheetData>
    <row r="1" ht="42.0" customHeight="1">
      <c r="A1" s="5" t="s">
        <v>166</v>
      </c>
      <c r="B1" s="2"/>
      <c r="C1" s="2"/>
      <c r="D1" s="2"/>
      <c r="E1" s="2"/>
      <c r="F1" s="2"/>
      <c r="G1" s="2"/>
      <c r="H1" s="2"/>
      <c r="I1" s="2"/>
      <c r="J1" s="2"/>
      <c r="K1" s="3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ht="27.75" customHeight="1">
      <c r="A2" s="6"/>
      <c r="B2" s="2"/>
      <c r="C2" s="2"/>
      <c r="D2" s="2"/>
      <c r="E2" s="2"/>
      <c r="F2" s="2"/>
      <c r="G2" s="2"/>
      <c r="H2" s="2"/>
      <c r="I2" s="2"/>
      <c r="J2" s="2"/>
      <c r="K2" s="3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30.0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8"/>
      <c r="N3" s="59"/>
      <c r="O3" s="59"/>
      <c r="P3" s="60" t="s">
        <v>167</v>
      </c>
      <c r="Q3" s="59"/>
      <c r="R3" s="59"/>
      <c r="S3" s="59"/>
      <c r="T3" s="59"/>
      <c r="U3" s="61"/>
      <c r="V3" s="57"/>
      <c r="W3" s="57"/>
      <c r="X3" s="57"/>
      <c r="Y3" s="57"/>
      <c r="Z3" s="57"/>
    </row>
    <row r="4" ht="30.0" customHeight="1">
      <c r="A4" s="57"/>
      <c r="B4" s="5" t="s">
        <v>168</v>
      </c>
      <c r="C4" s="2"/>
      <c r="D4" s="2"/>
      <c r="E4" s="2"/>
      <c r="F4" s="2"/>
      <c r="G4" s="2"/>
      <c r="H4" s="2"/>
      <c r="I4" s="2"/>
      <c r="J4" s="2"/>
      <c r="K4" s="3"/>
      <c r="L4" s="57"/>
      <c r="M4" s="62" t="s">
        <v>29</v>
      </c>
      <c r="N4" s="10" t="s">
        <v>143</v>
      </c>
      <c r="O4" s="10" t="s">
        <v>148</v>
      </c>
      <c r="P4" s="10" t="s">
        <v>145</v>
      </c>
      <c r="Q4" s="10" t="s">
        <v>169</v>
      </c>
      <c r="R4" s="10" t="s">
        <v>170</v>
      </c>
      <c r="S4" s="10" t="s">
        <v>171</v>
      </c>
      <c r="T4" s="57"/>
      <c r="U4" s="63"/>
      <c r="V4" s="57"/>
      <c r="W4" s="57"/>
      <c r="X4" s="57"/>
      <c r="Y4" s="57"/>
      <c r="Z4" s="57"/>
    </row>
    <row r="5" ht="30.0" customHeight="1">
      <c r="A5" s="57"/>
      <c r="B5" s="5" t="s">
        <v>172</v>
      </c>
      <c r="C5" s="2"/>
      <c r="D5" s="2"/>
      <c r="E5" s="3"/>
      <c r="F5" s="57"/>
      <c r="G5" s="5" t="s">
        <v>173</v>
      </c>
      <c r="H5" s="2"/>
      <c r="I5" s="2"/>
      <c r="J5" s="2"/>
      <c r="K5" s="3"/>
      <c r="L5" s="57"/>
      <c r="M5" s="62" t="s">
        <v>3</v>
      </c>
      <c r="N5" s="21">
        <f>'Economic Metrics'!B4</f>
        <v>756114.57</v>
      </c>
      <c r="O5" s="29">
        <f>'Economic Metrics'!B5</f>
        <v>2.148581699</v>
      </c>
      <c r="P5" s="30">
        <f>'Economic Metrics'!B11</f>
        <v>5.233739872</v>
      </c>
      <c r="Q5" s="12">
        <f>'Economic Metrics'!B10</f>
        <v>95000</v>
      </c>
      <c r="R5" s="12">
        <f>'Economic Metrics'!B8</f>
        <v>1205895.871</v>
      </c>
      <c r="S5" s="12">
        <f>'Economic Metrics'!B9+'Economic Metrics'!B10</f>
        <v>230408.064</v>
      </c>
      <c r="T5" s="57"/>
      <c r="U5" s="63"/>
      <c r="V5" s="57"/>
      <c r="W5" s="57"/>
      <c r="X5" s="57"/>
      <c r="Y5" s="57"/>
      <c r="Z5" s="57"/>
    </row>
    <row r="6" ht="30.0" customHeight="1">
      <c r="A6" s="57"/>
      <c r="B6" s="64"/>
      <c r="C6" s="2"/>
      <c r="D6" s="2"/>
      <c r="E6" s="2"/>
      <c r="F6" s="3"/>
      <c r="G6" s="64"/>
      <c r="H6" s="2"/>
      <c r="I6" s="2"/>
      <c r="J6" s="2"/>
      <c r="K6" s="3"/>
      <c r="L6" s="57"/>
      <c r="M6" s="62" t="s">
        <v>43</v>
      </c>
      <c r="N6" s="21">
        <f>'Economic Metrics'!C4</f>
        <v>394481.4572</v>
      </c>
      <c r="O6" s="29">
        <f>'Economic Metrics'!C5</f>
        <v>1.533916443</v>
      </c>
      <c r="P6" s="30">
        <f>'Economic Metrics'!C11</f>
        <v>3.848271999</v>
      </c>
      <c r="Q6" s="12">
        <f>'Economic Metrics'!C10</f>
        <v>73000</v>
      </c>
      <c r="R6" s="12">
        <f>'Economic Metrics'!C8</f>
        <v>695709.1565</v>
      </c>
      <c r="S6" s="12">
        <f>'Economic Metrics'!C9+'Economic Metrics'!C10</f>
        <v>180784.8189</v>
      </c>
      <c r="T6" s="57"/>
      <c r="U6" s="63"/>
      <c r="V6" s="57"/>
      <c r="W6" s="57"/>
      <c r="X6" s="57"/>
      <c r="Y6" s="57"/>
      <c r="Z6" s="57"/>
    </row>
    <row r="7" ht="30.0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62" t="s">
        <v>44</v>
      </c>
      <c r="N7" s="21">
        <f>'Economic Metrics'!D4</f>
        <v>1292277.909</v>
      </c>
      <c r="O7" s="29">
        <f>'Economic Metrics'!D5</f>
        <v>2.534360751</v>
      </c>
      <c r="P7" s="30">
        <f>'Economic Metrics'!D11</f>
        <v>5.621367437</v>
      </c>
      <c r="Q7" s="12">
        <f>'Economic Metrics'!D10</f>
        <v>135000</v>
      </c>
      <c r="R7" s="12">
        <f>'Economic Metrics'!D8</f>
        <v>2019396.17</v>
      </c>
      <c r="S7" s="12">
        <f>'Economic Metrics'!D9+'Economic Metrics'!D10</f>
        <v>359235.754</v>
      </c>
      <c r="T7" s="57"/>
      <c r="U7" s="63"/>
      <c r="V7" s="57"/>
      <c r="W7" s="57"/>
      <c r="X7" s="57"/>
      <c r="Y7" s="57"/>
      <c r="Z7" s="57"/>
    </row>
    <row r="8" ht="30.0" customHeight="1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62" t="s">
        <v>142</v>
      </c>
      <c r="N8" s="12">
        <f>'Economic Metrics'!E4</f>
        <v>589144.3726</v>
      </c>
      <c r="O8" s="14">
        <f>'Economic Metrics'!E5</f>
        <v>2.174882755</v>
      </c>
      <c r="P8" s="65">
        <f>'Economic Metrics'!E11</f>
        <v>5.528555258</v>
      </c>
      <c r="Q8" s="12">
        <f>'Economic Metrics'!E10</f>
        <v>73000</v>
      </c>
      <c r="R8" s="12">
        <f>'Economic Metrics'!E8</f>
        <v>927612.2087</v>
      </c>
      <c r="S8" s="12">
        <f>'Economic Metrics'!E9+'Economic Metrics'!E10</f>
        <v>167785.6448</v>
      </c>
      <c r="T8" s="57"/>
      <c r="U8" s="63"/>
      <c r="V8" s="57"/>
      <c r="W8" s="57"/>
      <c r="X8" s="57"/>
      <c r="Y8" s="57"/>
      <c r="Z8" s="57"/>
    </row>
    <row r="9" ht="30.0" customHeight="1">
      <c r="A9" s="57"/>
      <c r="B9" s="57"/>
      <c r="C9" s="57"/>
      <c r="D9" s="57"/>
      <c r="E9" s="57"/>
      <c r="F9" s="57"/>
      <c r="G9" s="57"/>
      <c r="H9" s="57"/>
      <c r="I9" s="57"/>
      <c r="J9" s="57"/>
      <c r="K9" s="57"/>
      <c r="L9" s="57"/>
      <c r="M9" s="66"/>
      <c r="N9" s="57"/>
      <c r="O9" s="57"/>
      <c r="P9" s="57"/>
      <c r="Q9" s="57"/>
      <c r="R9" s="57"/>
      <c r="S9" s="57"/>
      <c r="T9" s="57"/>
      <c r="U9" s="63"/>
      <c r="V9" s="57"/>
      <c r="W9" s="57"/>
      <c r="X9" s="57"/>
      <c r="Y9" s="57"/>
      <c r="Z9" s="57"/>
    </row>
    <row r="10" ht="30.0" customHeight="1">
      <c r="A10" s="57"/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62" t="s">
        <v>30</v>
      </c>
      <c r="N10" s="10" t="s">
        <v>3</v>
      </c>
      <c r="O10" s="10" t="s">
        <v>43</v>
      </c>
      <c r="P10" s="10" t="s">
        <v>44</v>
      </c>
      <c r="Q10" s="10" t="s">
        <v>142</v>
      </c>
      <c r="R10" s="57"/>
      <c r="S10" s="57"/>
      <c r="T10" s="57"/>
      <c r="U10" s="63"/>
      <c r="V10" s="57"/>
      <c r="W10" s="57"/>
      <c r="X10" s="57"/>
      <c r="Y10" s="57"/>
      <c r="Z10" s="57"/>
    </row>
    <row r="11" ht="30.0" customHeight="1">
      <c r="A11" s="57"/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62">
        <v>0.0</v>
      </c>
      <c r="N11" s="21">
        <f>'Cash Flows'!F5</f>
        <v>-95000</v>
      </c>
      <c r="O11" s="21">
        <f>'Cash Flows'!F15</f>
        <v>-73000</v>
      </c>
      <c r="P11" s="21">
        <f>'Cash Flows'!F25</f>
        <v>-135000</v>
      </c>
      <c r="Q11" s="12">
        <f>'Cash Flows'!F35</f>
        <v>-73000</v>
      </c>
      <c r="R11" s="57"/>
      <c r="S11" s="57"/>
      <c r="T11" s="57"/>
      <c r="U11" s="63"/>
      <c r="V11" s="57"/>
      <c r="W11" s="57"/>
      <c r="X11" s="57"/>
      <c r="Y11" s="57"/>
      <c r="Z11" s="57"/>
    </row>
    <row r="12" ht="30.0" customHeight="1">
      <c r="A12" s="57"/>
      <c r="B12" s="57"/>
      <c r="C12" s="57"/>
      <c r="D12" s="57"/>
      <c r="E12" s="57"/>
      <c r="F12" s="57"/>
      <c r="G12" s="57"/>
      <c r="H12" s="57"/>
      <c r="I12" s="57"/>
      <c r="J12" s="57"/>
      <c r="K12" s="57"/>
      <c r="L12" s="57"/>
      <c r="M12" s="62">
        <v>1.0</v>
      </c>
      <c r="N12" s="21">
        <f>'Cash Flows'!F6</f>
        <v>202136</v>
      </c>
      <c r="O12" s="21">
        <f>'Cash Flows'!F16</f>
        <v>111140</v>
      </c>
      <c r="P12" s="21">
        <f>'Cash Flows'!F26</f>
        <v>338962.5</v>
      </c>
      <c r="Q12" s="12">
        <f>'Cash Flows'!F36</f>
        <v>157220</v>
      </c>
      <c r="R12" s="57"/>
      <c r="S12" s="57"/>
      <c r="T12" s="57"/>
      <c r="U12" s="63"/>
      <c r="V12" s="57"/>
      <c r="W12" s="57"/>
      <c r="X12" s="57"/>
      <c r="Y12" s="57"/>
      <c r="Z12" s="57"/>
    </row>
    <row r="13" ht="30.0" customHeight="1">
      <c r="A13" s="57"/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62">
        <v>2.0</v>
      </c>
      <c r="N13" s="21">
        <f>'Cash Flows'!F7</f>
        <v>207950.08</v>
      </c>
      <c r="O13" s="21">
        <f>'Cash Flows'!F17</f>
        <v>114275.2</v>
      </c>
      <c r="P13" s="21">
        <f>'Cash Flows'!F27</f>
        <v>348717.375</v>
      </c>
      <c r="Q13" s="12">
        <f>'Cash Flows'!F37</f>
        <v>161761.6</v>
      </c>
      <c r="R13" s="57"/>
      <c r="S13" s="57"/>
      <c r="T13" s="57"/>
      <c r="U13" s="63"/>
      <c r="V13" s="57"/>
      <c r="W13" s="57"/>
      <c r="X13" s="57"/>
      <c r="Y13" s="57"/>
      <c r="Z13" s="57"/>
    </row>
    <row r="14" ht="30.0" customHeight="1">
      <c r="A14" s="57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62">
        <v>3.0</v>
      </c>
      <c r="N14" s="21">
        <f>'Cash Flows'!F8</f>
        <v>213928.5824</v>
      </c>
      <c r="O14" s="21">
        <f>'Cash Flows'!F18</f>
        <v>117496.496</v>
      </c>
      <c r="P14" s="21">
        <f>'Cash Flows'!F28</f>
        <v>358748.3363</v>
      </c>
      <c r="Q14" s="12">
        <f>'Cash Flows'!F38</f>
        <v>166432.448</v>
      </c>
      <c r="R14" s="57"/>
      <c r="S14" s="57"/>
      <c r="T14" s="57"/>
      <c r="U14" s="63"/>
      <c r="V14" s="57"/>
      <c r="W14" s="57"/>
      <c r="X14" s="57"/>
      <c r="Y14" s="57"/>
      <c r="Z14" s="57"/>
    </row>
    <row r="15" ht="30.0" customHeight="1">
      <c r="A15" s="57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62">
        <v>4.0</v>
      </c>
      <c r="N15" s="21">
        <f>'Cash Flows'!F9</f>
        <v>220076.0399</v>
      </c>
      <c r="O15" s="21">
        <f>'Cash Flows'!F19</f>
        <v>120806.1525</v>
      </c>
      <c r="P15" s="21">
        <f>'Cash Flows'!F29</f>
        <v>369063.0039</v>
      </c>
      <c r="Q15" s="12">
        <f>'Cash Flows'!F39</f>
        <v>171236.1414</v>
      </c>
      <c r="R15" s="57"/>
      <c r="S15" s="57"/>
      <c r="T15" s="57"/>
      <c r="U15" s="63"/>
      <c r="V15" s="57"/>
      <c r="W15" s="57"/>
      <c r="X15" s="57"/>
      <c r="Y15" s="57"/>
      <c r="Z15" s="57"/>
    </row>
    <row r="16" ht="30.0" customHeight="1">
      <c r="A16" s="57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62">
        <v>5.0</v>
      </c>
      <c r="N16" s="21">
        <f>'Cash Flows'!F10</f>
        <v>226397.1051</v>
      </c>
      <c r="O16" s="21">
        <f>'Cash Flows'!F20</f>
        <v>124206.4891</v>
      </c>
      <c r="P16" s="21">
        <f>'Cash Flows'!F30</f>
        <v>379669.2004</v>
      </c>
      <c r="Q16" s="12">
        <f>'Cash Flows'!F40</f>
        <v>176176.3745</v>
      </c>
      <c r="R16" s="57"/>
      <c r="S16" s="57"/>
      <c r="T16" s="57"/>
      <c r="U16" s="63"/>
      <c r="V16" s="57"/>
      <c r="W16" s="57"/>
      <c r="X16" s="57"/>
      <c r="Y16" s="57"/>
      <c r="Z16" s="57"/>
    </row>
    <row r="17" ht="30.0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66"/>
      <c r="N17" s="57"/>
      <c r="O17" s="57"/>
      <c r="P17" s="57"/>
      <c r="Q17" s="57"/>
      <c r="R17" s="57"/>
      <c r="S17" s="57"/>
      <c r="T17" s="57"/>
      <c r="U17" s="63"/>
      <c r="V17" s="57"/>
      <c r="W17" s="57"/>
      <c r="X17" s="57"/>
      <c r="Y17" s="57"/>
      <c r="Z17" s="57"/>
    </row>
    <row r="18" ht="30.0" customHeight="1">
      <c r="A18" s="57"/>
      <c r="B18" s="57"/>
      <c r="C18" s="57"/>
      <c r="D18" s="57"/>
      <c r="E18" s="57"/>
      <c r="F18" s="57"/>
      <c r="G18" s="57"/>
      <c r="H18" s="57"/>
      <c r="I18" s="57"/>
      <c r="J18" s="57"/>
      <c r="K18" s="57"/>
      <c r="L18" s="57"/>
      <c r="M18" s="62" t="s">
        <v>30</v>
      </c>
      <c r="N18" s="10" t="s">
        <v>3</v>
      </c>
      <c r="O18" s="10" t="s">
        <v>43</v>
      </c>
      <c r="P18" s="10" t="s">
        <v>44</v>
      </c>
      <c r="Q18" s="10" t="s">
        <v>142</v>
      </c>
      <c r="R18" s="57"/>
      <c r="S18" s="57"/>
      <c r="T18" s="57"/>
      <c r="U18" s="63"/>
      <c r="V18" s="57"/>
      <c r="W18" s="57"/>
      <c r="X18" s="57"/>
      <c r="Y18" s="57"/>
      <c r="Z18" s="57"/>
    </row>
    <row r="19" ht="30.0" customHeight="1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62">
        <v>0.0</v>
      </c>
      <c r="N19" s="21">
        <f>'Cash Flows'!I5</f>
        <v>-95000</v>
      </c>
      <c r="O19" s="21">
        <f>'Cash Flows'!I15</f>
        <v>-73000</v>
      </c>
      <c r="P19" s="21">
        <f>'Cash Flows'!I25</f>
        <v>-135000</v>
      </c>
      <c r="Q19" s="12">
        <f>'Cash Flows'!I35</f>
        <v>-73000</v>
      </c>
      <c r="R19" s="57"/>
      <c r="S19" s="57"/>
      <c r="T19" s="57"/>
      <c r="U19" s="63"/>
      <c r="V19" s="57"/>
      <c r="W19" s="57"/>
      <c r="X19" s="57"/>
      <c r="Y19" s="57"/>
      <c r="Z19" s="57"/>
    </row>
    <row r="20" ht="30.0" customHeight="1">
      <c r="A20" s="57"/>
      <c r="B20" s="57"/>
      <c r="C20" s="57"/>
      <c r="D20" s="57"/>
      <c r="E20" s="57"/>
      <c r="F20" s="57"/>
      <c r="G20" s="57"/>
      <c r="H20" s="57"/>
      <c r="I20" s="57"/>
      <c r="J20" s="57"/>
      <c r="K20" s="57"/>
      <c r="L20" s="57"/>
      <c r="M20" s="62">
        <v>1.0</v>
      </c>
      <c r="N20" s="21">
        <f>'Cash Flows'!I6</f>
        <v>92162.96296</v>
      </c>
      <c r="O20" s="21">
        <f>'Cash Flows'!I16</f>
        <v>29907.40741</v>
      </c>
      <c r="P20" s="21">
        <f>'Cash Flows'!I26</f>
        <v>178854.1667</v>
      </c>
      <c r="Q20" s="12">
        <f>'Cash Flows'!I36</f>
        <v>72574.07407</v>
      </c>
      <c r="R20" s="57"/>
      <c r="S20" s="57"/>
      <c r="T20" s="57"/>
      <c r="U20" s="63"/>
      <c r="V20" s="57"/>
      <c r="W20" s="57"/>
      <c r="X20" s="57"/>
      <c r="Y20" s="57"/>
      <c r="Z20" s="57"/>
    </row>
    <row r="21" ht="30.0" customHeight="1">
      <c r="A21" s="57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62">
        <v>2.0</v>
      </c>
      <c r="N21" s="21">
        <f>'Cash Flows'!I7</f>
        <v>270446.6392</v>
      </c>
      <c r="O21" s="21">
        <f>'Cash Flows'!I17</f>
        <v>127879.9726</v>
      </c>
      <c r="P21" s="21">
        <f>'Cash Flows'!I27</f>
        <v>477823.1096</v>
      </c>
      <c r="Q21" s="12">
        <f>'Cash Flows'!I37</f>
        <v>211258.5734</v>
      </c>
      <c r="R21" s="57"/>
      <c r="S21" s="57"/>
      <c r="T21" s="57"/>
      <c r="U21" s="63"/>
      <c r="V21" s="57"/>
      <c r="W21" s="57"/>
      <c r="X21" s="57"/>
      <c r="Y21" s="57"/>
      <c r="Z21" s="57"/>
    </row>
    <row r="22" ht="30.0" customHeight="1">
      <c r="A22" s="57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62">
        <v>3.0</v>
      </c>
      <c r="N22" s="21">
        <f>'Cash Flows'!I8</f>
        <v>440270.0452</v>
      </c>
      <c r="O22" s="21">
        <f>'Cash Flows'!I18</f>
        <v>221152.4793</v>
      </c>
      <c r="P22" s="21">
        <f>'Cash Flows'!I28</f>
        <v>762609.1053</v>
      </c>
      <c r="Q22" s="12">
        <f>'Cash Flows'!I38</f>
        <v>343378.0166</v>
      </c>
      <c r="R22" s="57"/>
      <c r="S22" s="57"/>
      <c r="T22" s="57"/>
      <c r="U22" s="63"/>
      <c r="V22" s="57"/>
      <c r="W22" s="57"/>
      <c r="X22" s="57"/>
      <c r="Y22" s="57"/>
      <c r="Z22" s="57"/>
    </row>
    <row r="23" ht="30.0" customHeight="1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62">
        <v>4.0</v>
      </c>
      <c r="N23" s="21">
        <f>'Cash Flows'!I9</f>
        <v>602032.5044</v>
      </c>
      <c r="O23" s="21">
        <f>'Cash Flows'!I19</f>
        <v>309948.6078</v>
      </c>
      <c r="P23" s="21">
        <f>'Cash Flows'!I29</f>
        <v>1033881.431</v>
      </c>
      <c r="Q23" s="12">
        <f>'Cash Flows'!I39</f>
        <v>469241.6924</v>
      </c>
      <c r="R23" s="57"/>
      <c r="S23" s="57"/>
      <c r="T23" s="57"/>
      <c r="U23" s="63"/>
      <c r="V23" s="57"/>
      <c r="W23" s="57"/>
      <c r="X23" s="57"/>
      <c r="Y23" s="57"/>
      <c r="Z23" s="57"/>
    </row>
    <row r="24" ht="30.0" customHeight="1">
      <c r="A24" s="57"/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62">
        <v>5.0</v>
      </c>
      <c r="N24" s="21">
        <f>'Cash Flows'!I10</f>
        <v>756114.57</v>
      </c>
      <c r="O24" s="21">
        <f>'Cash Flows'!I20</f>
        <v>394481.4572</v>
      </c>
      <c r="P24" s="21">
        <f>'Cash Flows'!I30</f>
        <v>1292277.909</v>
      </c>
      <c r="Q24" s="12">
        <f>'Cash Flows'!I40</f>
        <v>589144.3726</v>
      </c>
      <c r="R24" s="57"/>
      <c r="S24" s="57"/>
      <c r="T24" s="57"/>
      <c r="U24" s="63"/>
      <c r="V24" s="57"/>
      <c r="W24" s="57"/>
      <c r="X24" s="57"/>
      <c r="Y24" s="57"/>
      <c r="Z24" s="57"/>
    </row>
    <row r="25" ht="30.0" customHeight="1">
      <c r="A25" s="57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66"/>
      <c r="N25" s="57"/>
      <c r="O25" s="57"/>
      <c r="P25" s="57"/>
      <c r="Q25" s="57"/>
      <c r="R25" s="57"/>
      <c r="S25" s="57"/>
      <c r="T25" s="57"/>
      <c r="U25" s="63"/>
      <c r="V25" s="57"/>
      <c r="W25" s="57"/>
      <c r="X25" s="57"/>
      <c r="Y25" s="57"/>
      <c r="Z25" s="57"/>
    </row>
    <row r="26" ht="30.0" customHeight="1">
      <c r="A26" s="57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62" t="s">
        <v>30</v>
      </c>
      <c r="N26" s="10" t="s">
        <v>174</v>
      </c>
      <c r="O26" s="10" t="s">
        <v>175</v>
      </c>
      <c r="P26" s="10" t="s">
        <v>176</v>
      </c>
      <c r="Q26" s="10" t="s">
        <v>177</v>
      </c>
      <c r="R26" s="10" t="s">
        <v>178</v>
      </c>
      <c r="S26" s="10" t="s">
        <v>179</v>
      </c>
      <c r="T26" s="10" t="s">
        <v>180</v>
      </c>
      <c r="U26" s="67" t="s">
        <v>181</v>
      </c>
      <c r="V26" s="57"/>
      <c r="W26" s="57"/>
      <c r="X26" s="57"/>
      <c r="Y26" s="57"/>
      <c r="Z26" s="57"/>
    </row>
    <row r="27" ht="30.0" customHeight="1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62">
        <v>1.0</v>
      </c>
      <c r="N27" s="12">
        <f>'Cash Flows'!C6</f>
        <v>227136</v>
      </c>
      <c r="O27" s="12">
        <f>'Cash Flows'!D6+'Cash Flows'!E6</f>
        <v>25000</v>
      </c>
      <c r="P27" s="12">
        <f>'Cash Flows'!C16</f>
        <v>131040</v>
      </c>
      <c r="Q27" s="12">
        <f>'Cash Flows'!D16+'Cash Flows'!E16</f>
        <v>19900</v>
      </c>
      <c r="R27" s="12">
        <f>'Cash Flows'!C26</f>
        <v>380362.5</v>
      </c>
      <c r="S27" s="12">
        <f>'Cash Flows'!D26+'Cash Flows'!E26</f>
        <v>41400</v>
      </c>
      <c r="T27" s="12">
        <f>'Cash Flows'!C36</f>
        <v>174720</v>
      </c>
      <c r="U27" s="68">
        <f>'Cash Flows'!D36+'Cash Flows'!E36</f>
        <v>17500</v>
      </c>
      <c r="V27" s="57"/>
      <c r="W27" s="57"/>
      <c r="X27" s="57"/>
      <c r="Y27" s="57"/>
      <c r="Z27" s="57"/>
    </row>
    <row r="28" ht="30.0" customHeight="1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62">
        <v>2.0</v>
      </c>
      <c r="N28" s="12">
        <f>'Cash Flows'!C7</f>
        <v>233950.08</v>
      </c>
      <c r="O28" s="12">
        <f>'Cash Flows'!D7+'Cash Flows'!E7</f>
        <v>26000</v>
      </c>
      <c r="P28" s="12">
        <f>'Cash Flows'!C17</f>
        <v>134971.2</v>
      </c>
      <c r="Q28" s="12">
        <f>'Cash Flows'!D17+'Cash Flows'!E17</f>
        <v>20696</v>
      </c>
      <c r="R28" s="12">
        <f>'Cash Flows'!C27</f>
        <v>391773.375</v>
      </c>
      <c r="S28" s="12">
        <f>'Cash Flows'!D27+'Cash Flows'!E27</f>
        <v>43056</v>
      </c>
      <c r="T28" s="12">
        <f>'Cash Flows'!C37</f>
        <v>179961.6</v>
      </c>
      <c r="U28" s="68">
        <f>'Cash Flows'!D37+'Cash Flows'!E37</f>
        <v>18200</v>
      </c>
      <c r="V28" s="57"/>
      <c r="W28" s="57"/>
      <c r="X28" s="57"/>
      <c r="Y28" s="57"/>
      <c r="Z28" s="57"/>
    </row>
    <row r="29" ht="30.0" customHeight="1">
      <c r="A29" s="57"/>
      <c r="B29" s="5" t="s">
        <v>182</v>
      </c>
      <c r="C29" s="2"/>
      <c r="D29" s="2"/>
      <c r="E29" s="2"/>
      <c r="F29" s="2"/>
      <c r="G29" s="2"/>
      <c r="H29" s="2"/>
      <c r="I29" s="2"/>
      <c r="J29" s="2"/>
      <c r="K29" s="3"/>
      <c r="L29" s="57"/>
      <c r="M29" s="62">
        <v>3.0</v>
      </c>
      <c r="N29" s="12">
        <f>'Cash Flows'!C8</f>
        <v>240968.5824</v>
      </c>
      <c r="O29" s="12">
        <f>'Cash Flows'!D8+'Cash Flows'!E8</f>
        <v>27040</v>
      </c>
      <c r="P29" s="12">
        <f>'Cash Flows'!C18</f>
        <v>139020.336</v>
      </c>
      <c r="Q29" s="12">
        <f>'Cash Flows'!D18+'Cash Flows'!E18</f>
        <v>21523.84</v>
      </c>
      <c r="R29" s="12">
        <f>'Cash Flows'!C28</f>
        <v>403526.5763</v>
      </c>
      <c r="S29" s="12">
        <f>'Cash Flows'!D28+'Cash Flows'!E28</f>
        <v>44778.24</v>
      </c>
      <c r="T29" s="12">
        <f>'Cash Flows'!C38</f>
        <v>185360.448</v>
      </c>
      <c r="U29" s="68">
        <f>'Cash Flows'!D38+'Cash Flows'!E38</f>
        <v>18928</v>
      </c>
      <c r="V29" s="57"/>
      <c r="W29" s="57"/>
      <c r="X29" s="57"/>
      <c r="Y29" s="57"/>
      <c r="Z29" s="57"/>
    </row>
    <row r="30" ht="30.0" customHeight="1">
      <c r="A30" s="57"/>
      <c r="B30" s="5" t="s">
        <v>183</v>
      </c>
      <c r="C30" s="2"/>
      <c r="D30" s="2"/>
      <c r="E30" s="3"/>
      <c r="F30" s="57"/>
      <c r="G30" s="5" t="s">
        <v>184</v>
      </c>
      <c r="H30" s="2"/>
      <c r="I30" s="2"/>
      <c r="J30" s="2"/>
      <c r="K30" s="3"/>
      <c r="L30" s="57"/>
      <c r="M30" s="62">
        <v>4.0</v>
      </c>
      <c r="N30" s="12">
        <f>'Cash Flows'!C9</f>
        <v>248197.6399</v>
      </c>
      <c r="O30" s="12">
        <f>'Cash Flows'!D9+'Cash Flows'!E9</f>
        <v>28121.6</v>
      </c>
      <c r="P30" s="12">
        <f>'Cash Flows'!C19</f>
        <v>143190.9461</v>
      </c>
      <c r="Q30" s="12">
        <f>'Cash Flows'!D19+'Cash Flows'!E19</f>
        <v>22384.7936</v>
      </c>
      <c r="R30" s="12">
        <f>'Cash Flows'!C29</f>
        <v>415632.3735</v>
      </c>
      <c r="S30" s="12">
        <f>'Cash Flows'!D29+'Cash Flows'!E29</f>
        <v>46569.3696</v>
      </c>
      <c r="T30" s="12">
        <f>'Cash Flows'!C39</f>
        <v>190921.2614</v>
      </c>
      <c r="U30" s="68">
        <f>'Cash Flows'!D39+'Cash Flows'!E39</f>
        <v>19685.12</v>
      </c>
      <c r="V30" s="57"/>
      <c r="W30" s="57"/>
      <c r="X30" s="57"/>
      <c r="Y30" s="57"/>
      <c r="Z30" s="57"/>
    </row>
    <row r="31" ht="30.0" customHeight="1">
      <c r="A31" s="57"/>
      <c r="B31" s="64"/>
      <c r="C31" s="2"/>
      <c r="D31" s="2"/>
      <c r="E31" s="2"/>
      <c r="F31" s="3"/>
      <c r="G31" s="64"/>
      <c r="H31" s="2"/>
      <c r="I31" s="2"/>
      <c r="J31" s="2"/>
      <c r="K31" s="3"/>
      <c r="L31" s="57"/>
      <c r="M31" s="62">
        <v>5.0</v>
      </c>
      <c r="N31" s="12">
        <f>'Cash Flows'!C10</f>
        <v>255643.5691</v>
      </c>
      <c r="O31" s="12">
        <f>'Cash Flows'!D10+'Cash Flows'!E10</f>
        <v>29246.464</v>
      </c>
      <c r="P31" s="12">
        <f>'Cash Flows'!C20</f>
        <v>147486.6745</v>
      </c>
      <c r="Q31" s="12">
        <f>'Cash Flows'!D20+'Cash Flows'!E20</f>
        <v>23280.18534</v>
      </c>
      <c r="R31" s="12">
        <f>'Cash Flows'!C30</f>
        <v>428101.3447</v>
      </c>
      <c r="S31" s="12">
        <f>'Cash Flows'!D30+'Cash Flows'!E30</f>
        <v>48432.14438</v>
      </c>
      <c r="T31" s="12">
        <f>'Cash Flows'!C40</f>
        <v>196648.8993</v>
      </c>
      <c r="U31" s="68">
        <f>'Cash Flows'!D40+'Cash Flows'!E40</f>
        <v>20472.5248</v>
      </c>
      <c r="V31" s="57"/>
      <c r="W31" s="57"/>
      <c r="X31" s="57"/>
      <c r="Y31" s="57"/>
      <c r="Z31" s="57"/>
    </row>
    <row r="32" ht="30.0" customHeight="1">
      <c r="A32" s="57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66"/>
      <c r="N32" s="57"/>
      <c r="O32" s="57"/>
      <c r="P32" s="57"/>
      <c r="Q32" s="57"/>
      <c r="R32" s="57"/>
      <c r="S32" s="57"/>
      <c r="T32" s="57"/>
      <c r="U32" s="63"/>
      <c r="V32" s="57"/>
      <c r="W32" s="57"/>
      <c r="X32" s="57"/>
      <c r="Y32" s="57"/>
      <c r="Z32" s="57"/>
    </row>
    <row r="33" ht="30.0" customHeight="1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66"/>
      <c r="N33" s="57"/>
      <c r="O33" s="57"/>
      <c r="P33" s="57"/>
      <c r="Q33" s="57"/>
      <c r="R33" s="57"/>
      <c r="S33" s="57"/>
      <c r="T33" s="57"/>
      <c r="U33" s="63"/>
      <c r="V33" s="57"/>
      <c r="W33" s="57"/>
      <c r="X33" s="57"/>
      <c r="Y33" s="57"/>
      <c r="Z33" s="57"/>
    </row>
    <row r="34" ht="30.0" customHeight="1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66"/>
      <c r="N34" s="57"/>
      <c r="O34" s="57"/>
      <c r="P34" s="57"/>
      <c r="Q34" s="57"/>
      <c r="R34" s="57"/>
      <c r="S34" s="57"/>
      <c r="T34" s="57"/>
      <c r="U34" s="63"/>
      <c r="V34" s="57"/>
      <c r="W34" s="57"/>
      <c r="X34" s="57"/>
      <c r="Y34" s="57"/>
      <c r="Z34" s="57"/>
    </row>
    <row r="35" ht="30.0" customHeight="1">
      <c r="A35" s="57"/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66"/>
      <c r="N35" s="57"/>
      <c r="O35" s="57"/>
      <c r="P35" s="57"/>
      <c r="Q35" s="57"/>
      <c r="R35" s="57"/>
      <c r="S35" s="57"/>
      <c r="T35" s="57"/>
      <c r="U35" s="63"/>
      <c r="V35" s="57"/>
      <c r="W35" s="57"/>
      <c r="X35" s="57"/>
      <c r="Y35" s="57"/>
      <c r="Z35" s="57"/>
    </row>
    <row r="36" ht="30.0" customHeight="1">
      <c r="A36" s="57"/>
      <c r="B36" s="57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62" t="s">
        <v>62</v>
      </c>
      <c r="N36" s="10" t="s">
        <v>3</v>
      </c>
      <c r="O36" s="10" t="s">
        <v>43</v>
      </c>
      <c r="P36" s="10" t="s">
        <v>44</v>
      </c>
      <c r="Q36" s="34" t="s">
        <v>142</v>
      </c>
      <c r="R36" s="57"/>
      <c r="S36" s="57"/>
      <c r="T36" s="57"/>
      <c r="U36" s="63"/>
      <c r="V36" s="57"/>
      <c r="W36" s="57"/>
      <c r="X36" s="57"/>
      <c r="Y36" s="57"/>
      <c r="Z36" s="57"/>
    </row>
    <row r="37" ht="30.0" customHeight="1">
      <c r="A37" s="57"/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62" t="s">
        <v>104</v>
      </c>
      <c r="N37" s="12">
        <f>Sensitivity!AE7</f>
        <v>482230.6789</v>
      </c>
      <c r="O37" s="12">
        <f>Sensitivity!AF7</f>
        <v>236471.5201</v>
      </c>
      <c r="P37" s="12">
        <f>Sensitivity!AG7</f>
        <v>833631.2765</v>
      </c>
      <c r="Q37" s="12">
        <f>Sensitivity!AH7</f>
        <v>378464.4564</v>
      </c>
      <c r="R37" s="57"/>
      <c r="S37" s="57"/>
      <c r="T37" s="57"/>
      <c r="U37" s="63"/>
      <c r="V37" s="57"/>
      <c r="W37" s="57"/>
      <c r="X37" s="57"/>
      <c r="Y37" s="57"/>
      <c r="Z37" s="57"/>
    </row>
    <row r="38" ht="30.0" customHeight="1">
      <c r="A38" s="57"/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62" t="s">
        <v>185</v>
      </c>
      <c r="N38" s="12">
        <f>Sensitivity!AE8</f>
        <v>756114.57</v>
      </c>
      <c r="O38" s="12">
        <f>Sensitivity!AF8</f>
        <v>394481.4572</v>
      </c>
      <c r="P38" s="12">
        <f>Sensitivity!AG8</f>
        <v>1292277.909</v>
      </c>
      <c r="Q38" s="12">
        <f>Sensitivity!AH8</f>
        <v>589144.3726</v>
      </c>
      <c r="R38" s="57"/>
      <c r="S38" s="57"/>
      <c r="T38" s="57"/>
      <c r="U38" s="63"/>
      <c r="V38" s="57"/>
      <c r="W38" s="57"/>
      <c r="X38" s="57"/>
      <c r="Y38" s="57"/>
      <c r="Z38" s="57"/>
    </row>
    <row r="39" ht="30.0" customHeight="1">
      <c r="A39" s="57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62" t="s">
        <v>106</v>
      </c>
      <c r="N39" s="12">
        <f>Sensitivity!AE9</f>
        <v>1029998.461</v>
      </c>
      <c r="O39" s="12">
        <f>Sensitivity!AF9</f>
        <v>552491.3944</v>
      </c>
      <c r="P39" s="12">
        <f>Sensitivity!AG9</f>
        <v>1750924.541</v>
      </c>
      <c r="Q39" s="12">
        <f>Sensitivity!AH9</f>
        <v>799824.2888</v>
      </c>
      <c r="R39" s="57"/>
      <c r="S39" s="57"/>
      <c r="T39" s="57"/>
      <c r="U39" s="63"/>
      <c r="V39" s="57"/>
      <c r="W39" s="57"/>
      <c r="X39" s="57"/>
      <c r="Y39" s="57"/>
      <c r="Z39" s="57"/>
    </row>
    <row r="40" ht="30.0" customHeight="1">
      <c r="A40" s="57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66"/>
      <c r="N40" s="57"/>
      <c r="O40" s="57"/>
      <c r="P40" s="57"/>
      <c r="Q40" s="57"/>
      <c r="R40" s="57"/>
      <c r="S40" s="57"/>
      <c r="T40" s="57"/>
      <c r="U40" s="63"/>
      <c r="V40" s="57"/>
      <c r="W40" s="57"/>
      <c r="X40" s="57"/>
      <c r="Y40" s="57"/>
      <c r="Z40" s="57"/>
    </row>
    <row r="41" ht="30.0" customHeight="1">
      <c r="A41" s="57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62" t="s">
        <v>186</v>
      </c>
      <c r="N41" s="10" t="s">
        <v>3</v>
      </c>
      <c r="O41" s="10" t="s">
        <v>43</v>
      </c>
      <c r="P41" s="10" t="s">
        <v>44</v>
      </c>
      <c r="Q41" s="34" t="s">
        <v>142</v>
      </c>
      <c r="R41" s="57"/>
      <c r="S41" s="57"/>
      <c r="T41" s="57"/>
      <c r="U41" s="63"/>
      <c r="V41" s="57"/>
      <c r="W41" s="57"/>
      <c r="X41" s="57"/>
      <c r="Y41" s="57"/>
      <c r="Z41" s="57"/>
    </row>
    <row r="42" ht="30.0" customHeight="1">
      <c r="A42" s="57"/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62" t="s">
        <v>187</v>
      </c>
      <c r="N42" s="12">
        <f>Sensitivity!AE14</f>
        <v>803885.6572</v>
      </c>
      <c r="O42" s="12">
        <f>Sensitivity!AF14</f>
        <v>420710.0035</v>
      </c>
      <c r="P42" s="12">
        <f>Sensitivity!AG14</f>
        <v>1372388.566</v>
      </c>
      <c r="Q42" s="12">
        <f>Sensitivity!AH14</f>
        <v>626312.1938</v>
      </c>
      <c r="R42" s="57"/>
      <c r="S42" s="57"/>
      <c r="T42" s="57"/>
      <c r="U42" s="63"/>
      <c r="V42" s="57"/>
      <c r="W42" s="57"/>
      <c r="X42" s="57"/>
      <c r="Y42" s="57"/>
      <c r="Z42" s="57"/>
    </row>
    <row r="43" ht="30.0" customHeight="1">
      <c r="A43" s="57"/>
      <c r="B43" s="57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62" t="s">
        <v>188</v>
      </c>
      <c r="N43" s="12">
        <f>Sensitivity!AE15</f>
        <v>756114.57</v>
      </c>
      <c r="O43" s="12">
        <f>Sensitivity!AF15</f>
        <v>394481.4572</v>
      </c>
      <c r="P43" s="12">
        <f>Sensitivity!AG15</f>
        <v>1292277.909</v>
      </c>
      <c r="Q43" s="12">
        <f>Sensitivity!AH15</f>
        <v>589144.3726</v>
      </c>
      <c r="R43" s="57"/>
      <c r="S43" s="57"/>
      <c r="T43" s="57"/>
      <c r="U43" s="63"/>
      <c r="V43" s="57"/>
      <c r="W43" s="57"/>
      <c r="X43" s="57"/>
      <c r="Y43" s="57"/>
      <c r="Z43" s="57"/>
    </row>
    <row r="44" ht="30.0" customHeight="1">
      <c r="A44" s="57"/>
      <c r="B44" s="57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62" t="s">
        <v>189</v>
      </c>
      <c r="N44" s="12">
        <f>Sensitivity!AE16</f>
        <v>712236.967</v>
      </c>
      <c r="O44" s="12">
        <f>Sensitivity!AF16</f>
        <v>370390.2194</v>
      </c>
      <c r="P44" s="12">
        <f>Sensitivity!AG16</f>
        <v>1218696.54</v>
      </c>
      <c r="Q44" s="12">
        <f>Sensitivity!AH16</f>
        <v>555005.9632</v>
      </c>
      <c r="R44" s="57"/>
      <c r="S44" s="57"/>
      <c r="T44" s="57"/>
      <c r="U44" s="63"/>
      <c r="V44" s="57"/>
      <c r="W44" s="57"/>
      <c r="X44" s="57"/>
      <c r="Y44" s="57"/>
      <c r="Z44" s="57"/>
    </row>
    <row r="45" ht="30.0" customHeight="1">
      <c r="A45" s="57"/>
      <c r="B45" s="57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62" t="s">
        <v>190</v>
      </c>
      <c r="N45" s="12">
        <f>Sensitivity!AE17</f>
        <v>671851.3409</v>
      </c>
      <c r="O45" s="12">
        <f>Sensitivity!AF17</f>
        <v>348215.9092</v>
      </c>
      <c r="P45" s="12">
        <f>Sensitivity!AG17</f>
        <v>1150971.137</v>
      </c>
      <c r="Q45" s="12">
        <f>Sensitivity!AH17</f>
        <v>523584.556</v>
      </c>
      <c r="R45" s="57"/>
      <c r="S45" s="57"/>
      <c r="T45" s="57"/>
      <c r="U45" s="63"/>
      <c r="V45" s="57"/>
      <c r="W45" s="57"/>
      <c r="X45" s="57"/>
      <c r="Y45" s="57"/>
      <c r="Z45" s="57"/>
    </row>
    <row r="46" ht="30.0" customHeight="1">
      <c r="A46" s="57"/>
      <c r="B46" s="57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66"/>
      <c r="N46" s="57"/>
      <c r="O46" s="57"/>
      <c r="P46" s="57"/>
      <c r="Q46" s="57"/>
      <c r="R46" s="57"/>
      <c r="S46" s="57"/>
      <c r="T46" s="57"/>
      <c r="U46" s="63"/>
      <c r="V46" s="57"/>
      <c r="W46" s="57"/>
      <c r="X46" s="57"/>
      <c r="Y46" s="57"/>
      <c r="Z46" s="57"/>
    </row>
    <row r="47" ht="30.0" customHeight="1">
      <c r="A47" s="57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62" t="s">
        <v>191</v>
      </c>
      <c r="N47" s="10" t="s">
        <v>3</v>
      </c>
      <c r="O47" s="10" t="s">
        <v>43</v>
      </c>
      <c r="P47" s="10" t="s">
        <v>44</v>
      </c>
      <c r="Q47" s="34" t="s">
        <v>142</v>
      </c>
      <c r="R47" s="57"/>
      <c r="S47" s="57"/>
      <c r="T47" s="57"/>
      <c r="U47" s="63"/>
      <c r="V47" s="57"/>
      <c r="W47" s="57"/>
      <c r="X47" s="57"/>
      <c r="Y47" s="57"/>
      <c r="Z47" s="57"/>
    </row>
    <row r="48" ht="30.0" customHeight="1">
      <c r="A48" s="57"/>
      <c r="B48" s="57"/>
      <c r="C48" s="57"/>
      <c r="D48" s="57"/>
      <c r="E48" s="57"/>
      <c r="F48" s="57"/>
      <c r="G48" s="57"/>
      <c r="H48" s="57"/>
      <c r="I48" s="57"/>
      <c r="J48" s="57"/>
      <c r="K48" s="57"/>
      <c r="L48" s="57"/>
      <c r="M48" s="62" t="s">
        <v>192</v>
      </c>
      <c r="N48" s="12">
        <f>Sensitivity!AE22</f>
        <v>781614.57</v>
      </c>
      <c r="O48" s="12">
        <f>Sensitivity!AF22</f>
        <v>413981.4572</v>
      </c>
      <c r="P48" s="12">
        <f>Sensitivity!AG22</f>
        <v>1328277.909</v>
      </c>
      <c r="Q48" s="12">
        <f>Sensitivity!AH22</f>
        <v>608644.3726</v>
      </c>
      <c r="R48" s="57"/>
      <c r="S48" s="57"/>
      <c r="T48" s="57"/>
      <c r="U48" s="63"/>
      <c r="V48" s="57"/>
      <c r="W48" s="57"/>
      <c r="X48" s="57"/>
      <c r="Y48" s="57"/>
      <c r="Z48" s="57"/>
    </row>
    <row r="49" ht="30.0" customHeight="1">
      <c r="A49" s="57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62" t="s">
        <v>193</v>
      </c>
      <c r="N49" s="12">
        <f>Sensitivity!AE23</f>
        <v>756114.57</v>
      </c>
      <c r="O49" s="12">
        <f>Sensitivity!AF23</f>
        <v>394481.4572</v>
      </c>
      <c r="P49" s="12">
        <f>Sensitivity!AG23</f>
        <v>1292277.909</v>
      </c>
      <c r="Q49" s="12">
        <f>Sensitivity!AH23</f>
        <v>589144.3726</v>
      </c>
      <c r="R49" s="57"/>
      <c r="S49" s="57"/>
      <c r="T49" s="57"/>
      <c r="U49" s="63"/>
      <c r="V49" s="57"/>
      <c r="W49" s="57"/>
      <c r="X49" s="57"/>
      <c r="Y49" s="57"/>
      <c r="Z49" s="57"/>
    </row>
    <row r="50" ht="30.0" customHeight="1">
      <c r="A50" s="57"/>
      <c r="B50" s="57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62" t="s">
        <v>194</v>
      </c>
      <c r="N50" s="12">
        <f>Sensitivity!AE24</f>
        <v>713614.57</v>
      </c>
      <c r="O50" s="12">
        <f>Sensitivity!AF24</f>
        <v>361981.4572</v>
      </c>
      <c r="P50" s="12">
        <f>Sensitivity!AG24</f>
        <v>1232277.909</v>
      </c>
      <c r="Q50" s="12">
        <f>Sensitivity!AH24</f>
        <v>556644.3726</v>
      </c>
      <c r="R50" s="57"/>
      <c r="S50" s="57"/>
      <c r="T50" s="57"/>
      <c r="U50" s="63"/>
      <c r="V50" s="57"/>
      <c r="W50" s="57"/>
      <c r="X50" s="57"/>
      <c r="Y50" s="57"/>
      <c r="Z50" s="57"/>
    </row>
    <row r="51" ht="30.0" customHeight="1">
      <c r="A51" s="57"/>
      <c r="B51" s="57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62" t="s">
        <v>195</v>
      </c>
      <c r="N51" s="12">
        <f>Sensitivity!AE25</f>
        <v>671114.57</v>
      </c>
      <c r="O51" s="12">
        <f>Sensitivity!AF25</f>
        <v>329481.4572</v>
      </c>
      <c r="P51" s="12">
        <f>Sensitivity!AG25</f>
        <v>1172277.909</v>
      </c>
      <c r="Q51" s="12">
        <f>Sensitivity!AH25</f>
        <v>524144.3726</v>
      </c>
      <c r="R51" s="57"/>
      <c r="S51" s="57"/>
      <c r="T51" s="57"/>
      <c r="U51" s="63"/>
      <c r="V51" s="57"/>
      <c r="W51" s="57"/>
      <c r="X51" s="57"/>
      <c r="Y51" s="57"/>
      <c r="Z51" s="57"/>
    </row>
    <row r="52" ht="30.0" customHeight="1">
      <c r="A52" s="57"/>
      <c r="B52" s="5" t="s">
        <v>196</v>
      </c>
      <c r="C52" s="2"/>
      <c r="D52" s="2"/>
      <c r="E52" s="2"/>
      <c r="F52" s="2"/>
      <c r="G52" s="2"/>
      <c r="H52" s="2"/>
      <c r="I52" s="2"/>
      <c r="J52" s="2"/>
      <c r="K52" s="3"/>
      <c r="L52" s="57"/>
      <c r="M52" s="66"/>
      <c r="N52" s="57"/>
      <c r="O52" s="57"/>
      <c r="P52" s="57"/>
      <c r="Q52" s="57"/>
      <c r="R52" s="57"/>
      <c r="S52" s="57"/>
      <c r="T52" s="57"/>
      <c r="U52" s="63"/>
      <c r="V52" s="57"/>
      <c r="W52" s="57"/>
      <c r="X52" s="57"/>
      <c r="Y52" s="57"/>
      <c r="Z52" s="57"/>
    </row>
    <row r="53" ht="30.0" customHeight="1">
      <c r="A53" s="57"/>
      <c r="B53" s="5" t="s">
        <v>197</v>
      </c>
      <c r="C53" s="2"/>
      <c r="D53" s="2"/>
      <c r="E53" s="3"/>
      <c r="F53" s="57"/>
      <c r="G53" s="5" t="s">
        <v>198</v>
      </c>
      <c r="H53" s="2"/>
      <c r="I53" s="2"/>
      <c r="J53" s="2"/>
      <c r="K53" s="3"/>
      <c r="L53" s="57"/>
      <c r="M53" s="62" t="s">
        <v>29</v>
      </c>
      <c r="N53" s="10" t="s">
        <v>169</v>
      </c>
      <c r="O53" s="10" t="s">
        <v>170</v>
      </c>
      <c r="P53" s="10" t="s">
        <v>199</v>
      </c>
      <c r="Q53" s="57"/>
      <c r="R53" s="57"/>
      <c r="S53" s="57"/>
      <c r="T53" s="57"/>
      <c r="U53" s="63"/>
      <c r="V53" s="57"/>
      <c r="W53" s="57"/>
      <c r="X53" s="57"/>
      <c r="Y53" s="57"/>
      <c r="Z53" s="57"/>
    </row>
    <row r="54" ht="30.0" customHeight="1">
      <c r="A54" s="57"/>
      <c r="B54" s="64"/>
      <c r="C54" s="2"/>
      <c r="D54" s="2"/>
      <c r="E54" s="2"/>
      <c r="F54" s="3"/>
      <c r="G54" s="64"/>
      <c r="H54" s="2"/>
      <c r="I54" s="2"/>
      <c r="J54" s="2"/>
      <c r="K54" s="3"/>
      <c r="L54" s="57"/>
      <c r="M54" s="62" t="s">
        <v>3</v>
      </c>
      <c r="N54" s="12">
        <f>'Economic Metrics'!B10</f>
        <v>95000</v>
      </c>
      <c r="O54" s="12">
        <f>'Economic Metrics'!B8</f>
        <v>1205895.871</v>
      </c>
      <c r="P54" s="12">
        <f>'Economic Metrics'!B9</f>
        <v>135408.064</v>
      </c>
      <c r="Q54" s="57"/>
      <c r="R54" s="57"/>
      <c r="S54" s="57"/>
      <c r="T54" s="57"/>
      <c r="U54" s="63"/>
      <c r="V54" s="57"/>
      <c r="W54" s="57"/>
      <c r="X54" s="57"/>
      <c r="Y54" s="57"/>
      <c r="Z54" s="57"/>
    </row>
    <row r="55" ht="30.0" customHeight="1">
      <c r="A55" s="57"/>
      <c r="B55" s="57"/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62" t="s">
        <v>43</v>
      </c>
      <c r="N55" s="12">
        <f>'Economic Metrics'!C10</f>
        <v>73000</v>
      </c>
      <c r="O55" s="12">
        <f>'Economic Metrics'!C8</f>
        <v>695709.1565</v>
      </c>
      <c r="P55" s="12">
        <f>'Economic Metrics'!C9</f>
        <v>107784.8189</v>
      </c>
      <c r="Q55" s="57"/>
      <c r="R55" s="57"/>
      <c r="S55" s="57"/>
      <c r="T55" s="57"/>
      <c r="U55" s="63"/>
      <c r="V55" s="57"/>
      <c r="W55" s="57"/>
      <c r="X55" s="57"/>
      <c r="Y55" s="57"/>
      <c r="Z55" s="57"/>
    </row>
    <row r="56" ht="30.0" customHeight="1">
      <c r="A56" s="57"/>
      <c r="B56" s="57"/>
      <c r="C56" s="57"/>
      <c r="D56" s="57"/>
      <c r="E56" s="57"/>
      <c r="F56" s="57"/>
      <c r="G56" s="57"/>
      <c r="H56" s="57"/>
      <c r="I56" s="57"/>
      <c r="J56" s="57"/>
      <c r="K56" s="57"/>
      <c r="L56" s="57"/>
      <c r="M56" s="62" t="s">
        <v>44</v>
      </c>
      <c r="N56" s="12">
        <f>'Economic Metrics'!D10</f>
        <v>135000</v>
      </c>
      <c r="O56" s="12">
        <f>'Economic Metrics'!D8</f>
        <v>2019396.17</v>
      </c>
      <c r="P56" s="12">
        <f>'Economic Metrics'!D9</f>
        <v>224235.754</v>
      </c>
      <c r="Q56" s="57"/>
      <c r="R56" s="57"/>
      <c r="S56" s="57"/>
      <c r="T56" s="57"/>
      <c r="U56" s="63"/>
      <c r="V56" s="57"/>
      <c r="W56" s="57"/>
      <c r="X56" s="57"/>
      <c r="Y56" s="57"/>
      <c r="Z56" s="57"/>
    </row>
    <row r="57" ht="30.0" customHeight="1">
      <c r="A57" s="57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62" t="s">
        <v>142</v>
      </c>
      <c r="N57" s="12">
        <f>'Economic Metrics'!E10</f>
        <v>73000</v>
      </c>
      <c r="O57" s="12">
        <f>'Economic Metrics'!E8</f>
        <v>927612.2087</v>
      </c>
      <c r="P57" s="12">
        <f>'Economic Metrics'!E9</f>
        <v>94785.6448</v>
      </c>
      <c r="Q57" s="57"/>
      <c r="R57" s="57"/>
      <c r="S57" s="57"/>
      <c r="T57" s="57"/>
      <c r="U57" s="63"/>
      <c r="V57" s="57"/>
      <c r="W57" s="57"/>
      <c r="X57" s="57"/>
      <c r="Y57" s="57"/>
      <c r="Z57" s="57"/>
    </row>
    <row r="58" ht="52.5" customHeight="1">
      <c r="A58" s="57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69" t="s">
        <v>200</v>
      </c>
      <c r="N58" s="8" t="s">
        <v>201</v>
      </c>
      <c r="O58" s="8" t="s">
        <v>202</v>
      </c>
      <c r="P58" s="8" t="s">
        <v>203</v>
      </c>
      <c r="Q58" s="8" t="s">
        <v>204</v>
      </c>
      <c r="R58" s="57"/>
      <c r="S58" s="57"/>
      <c r="T58" s="57"/>
      <c r="U58" s="63"/>
      <c r="V58" s="57"/>
      <c r="W58" s="57"/>
      <c r="X58" s="57"/>
      <c r="Y58" s="57"/>
      <c r="Z58" s="57"/>
    </row>
    <row r="59" ht="25.5" customHeight="1">
      <c r="A59" s="57"/>
      <c r="B59" s="57"/>
      <c r="C59" s="57"/>
      <c r="D59" s="57"/>
      <c r="E59" s="57"/>
      <c r="F59" s="57"/>
      <c r="G59" s="57"/>
      <c r="H59" s="57"/>
      <c r="I59" s="57"/>
      <c r="J59" s="57"/>
      <c r="K59" s="57"/>
      <c r="L59" s="57"/>
      <c r="M59" s="62" t="s">
        <v>205</v>
      </c>
      <c r="N59" s="12">
        <f>Sensitivity!AE30</f>
        <v>812003.6753</v>
      </c>
      <c r="O59" s="12">
        <f>Sensitivity!AF30</f>
        <v>434893.5796</v>
      </c>
      <c r="P59" s="12">
        <f>Sensitivity!AG30</f>
        <v>1410074.946</v>
      </c>
      <c r="Q59" s="12">
        <f>Sensitivity!AH30</f>
        <v>619238.5062</v>
      </c>
      <c r="R59" s="57"/>
      <c r="S59" s="57"/>
      <c r="T59" s="57"/>
      <c r="U59" s="63"/>
      <c r="V59" s="57"/>
      <c r="W59" s="57"/>
      <c r="X59" s="57"/>
      <c r="Y59" s="57"/>
      <c r="Z59" s="57"/>
    </row>
    <row r="60" ht="25.5" customHeight="1">
      <c r="A60" s="57"/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62" t="s">
        <v>206</v>
      </c>
      <c r="N60" s="12">
        <f>Sensitivity!AE31</f>
        <v>756114.57</v>
      </c>
      <c r="O60" s="12">
        <f>Sensitivity!AF31</f>
        <v>394481.4572</v>
      </c>
      <c r="P60" s="12">
        <f>Sensitivity!AG31</f>
        <v>1292277.909</v>
      </c>
      <c r="Q60" s="12">
        <f>Sensitivity!AH31</f>
        <v>589144.3726</v>
      </c>
      <c r="R60" s="57"/>
      <c r="S60" s="57"/>
      <c r="T60" s="57"/>
      <c r="U60" s="63"/>
      <c r="V60" s="57"/>
      <c r="W60" s="57"/>
      <c r="X60" s="57"/>
      <c r="Y60" s="57"/>
      <c r="Z60" s="57"/>
    </row>
    <row r="61" ht="25.5" customHeight="1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62" t="s">
        <v>207</v>
      </c>
      <c r="N61" s="12">
        <f>Sensitivity!AE32</f>
        <v>726020.4363</v>
      </c>
      <c r="O61" s="12">
        <f>Sensitivity!AF32</f>
        <v>348910.3406</v>
      </c>
      <c r="P61" s="12">
        <f>Sensitivity!AG32</f>
        <v>1324091.707</v>
      </c>
      <c r="Q61" s="12">
        <f>Sensitivity!AH32</f>
        <v>533255.2672</v>
      </c>
      <c r="R61" s="57"/>
      <c r="S61" s="57"/>
      <c r="T61" s="57"/>
      <c r="U61" s="63"/>
      <c r="V61" s="57"/>
      <c r="W61" s="57"/>
      <c r="X61" s="57"/>
      <c r="Y61" s="57"/>
      <c r="Z61" s="57"/>
    </row>
    <row r="62" ht="25.5" customHeight="1">
      <c r="A62" s="57"/>
      <c r="B62" s="57"/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70" t="s">
        <v>208</v>
      </c>
      <c r="N62" s="71">
        <f>Sensitivity!AE33</f>
        <v>661533.0071</v>
      </c>
      <c r="O62" s="71">
        <f>Sensitivity!AF33</f>
        <v>284422.9113</v>
      </c>
      <c r="P62" s="71">
        <f>Sensitivity!AG33</f>
        <v>1259604.278</v>
      </c>
      <c r="Q62" s="71">
        <f>Sensitivity!AH33</f>
        <v>468767.838</v>
      </c>
      <c r="R62" s="72"/>
      <c r="S62" s="72"/>
      <c r="T62" s="72"/>
      <c r="U62" s="73"/>
      <c r="V62" s="57"/>
      <c r="W62" s="57"/>
      <c r="X62" s="57"/>
      <c r="Y62" s="57"/>
      <c r="Z62" s="57"/>
    </row>
    <row r="63" ht="30.0" customHeight="1">
      <c r="A63" s="57"/>
      <c r="B63" s="57"/>
      <c r="C63" s="57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  <c r="T63" s="57"/>
      <c r="U63" s="57"/>
      <c r="V63" s="57"/>
      <c r="W63" s="57"/>
      <c r="X63" s="57"/>
      <c r="Y63" s="57"/>
      <c r="Z63" s="57"/>
    </row>
    <row r="64" ht="30.0" customHeight="1">
      <c r="A64" s="57"/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  <c r="T64" s="57"/>
      <c r="U64" s="57"/>
      <c r="V64" s="57"/>
      <c r="W64" s="57"/>
      <c r="X64" s="57"/>
      <c r="Y64" s="57"/>
      <c r="Z64" s="57"/>
    </row>
    <row r="65" ht="30.0" customHeight="1">
      <c r="A65" s="57"/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X65" s="57"/>
      <c r="Y65" s="57"/>
      <c r="Z65" s="57"/>
    </row>
    <row r="66" ht="30.0" customHeight="1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  <c r="T66" s="57"/>
      <c r="U66" s="57"/>
      <c r="V66" s="57"/>
      <c r="W66" s="57"/>
      <c r="X66" s="57"/>
      <c r="Y66" s="57"/>
      <c r="Z66" s="57"/>
    </row>
    <row r="67" ht="30.0" customHeight="1">
      <c r="A67" s="57"/>
      <c r="B67" s="57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57"/>
      <c r="V67" s="57"/>
      <c r="W67" s="57"/>
      <c r="X67" s="57"/>
      <c r="Y67" s="57"/>
      <c r="Z67" s="57"/>
    </row>
    <row r="68" ht="30.0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7"/>
      <c r="X68" s="57"/>
      <c r="Y68" s="57"/>
      <c r="Z68" s="57"/>
    </row>
    <row r="69" ht="30.0" customHeight="1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57"/>
      <c r="V69" s="57"/>
      <c r="W69" s="57"/>
      <c r="X69" s="57"/>
      <c r="Y69" s="57"/>
      <c r="Z69" s="57"/>
    </row>
    <row r="70" ht="30.0" customHeight="1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57"/>
      <c r="V70" s="57"/>
      <c r="W70" s="57"/>
      <c r="X70" s="57"/>
      <c r="Y70" s="57"/>
      <c r="Z70" s="57"/>
    </row>
    <row r="71" ht="30.0" customHeight="1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  <c r="U71" s="57"/>
      <c r="V71" s="57"/>
      <c r="W71" s="57"/>
      <c r="X71" s="57"/>
      <c r="Y71" s="57"/>
      <c r="Z71" s="57"/>
    </row>
    <row r="72" ht="30.0" customHeight="1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  <c r="U72" s="57"/>
      <c r="V72" s="57"/>
      <c r="W72" s="57"/>
      <c r="X72" s="57"/>
      <c r="Y72" s="57"/>
      <c r="Z72" s="57"/>
    </row>
    <row r="73" ht="30.0" customHeight="1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  <c r="U73" s="57"/>
      <c r="V73" s="57"/>
      <c r="W73" s="57"/>
      <c r="X73" s="57"/>
      <c r="Y73" s="57"/>
      <c r="Z73" s="57"/>
    </row>
    <row r="74" ht="30.0" customHeight="1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7"/>
      <c r="X74" s="57"/>
      <c r="Y74" s="57"/>
      <c r="Z74" s="57"/>
    </row>
    <row r="75" ht="30.0" customHeight="1">
      <c r="A75" s="57"/>
      <c r="B75" s="5" t="s">
        <v>209</v>
      </c>
      <c r="C75" s="2"/>
      <c r="D75" s="2"/>
      <c r="E75" s="2"/>
      <c r="F75" s="2"/>
      <c r="G75" s="2"/>
      <c r="H75" s="2"/>
      <c r="I75" s="2"/>
      <c r="J75" s="2"/>
      <c r="K75" s="3"/>
      <c r="L75" s="57"/>
      <c r="M75" s="57"/>
      <c r="N75" s="57"/>
      <c r="O75" s="57"/>
      <c r="P75" s="57"/>
      <c r="Q75" s="57"/>
      <c r="R75" s="57"/>
      <c r="S75" s="57"/>
      <c r="T75" s="57"/>
      <c r="U75" s="57"/>
      <c r="V75" s="57"/>
      <c r="W75" s="57"/>
      <c r="X75" s="57"/>
      <c r="Y75" s="57"/>
      <c r="Z75" s="57"/>
    </row>
    <row r="76" ht="30.0" customHeight="1">
      <c r="A76" s="57"/>
      <c r="B76" s="5" t="s">
        <v>210</v>
      </c>
      <c r="C76" s="2"/>
      <c r="D76" s="2"/>
      <c r="E76" s="3"/>
      <c r="F76" s="57"/>
      <c r="G76" s="5" t="s">
        <v>211</v>
      </c>
      <c r="H76" s="2"/>
      <c r="I76" s="2"/>
      <c r="J76" s="2"/>
      <c r="K76" s="3"/>
      <c r="L76" s="57"/>
      <c r="M76" s="57"/>
      <c r="N76" s="57"/>
      <c r="O76" s="57"/>
      <c r="P76" s="57"/>
      <c r="Q76" s="57"/>
      <c r="R76" s="57"/>
      <c r="S76" s="57"/>
      <c r="T76" s="57"/>
      <c r="U76" s="57"/>
      <c r="V76" s="57"/>
      <c r="W76" s="57"/>
      <c r="X76" s="57"/>
      <c r="Y76" s="57"/>
      <c r="Z76" s="57"/>
    </row>
    <row r="77" ht="30.0" customHeight="1">
      <c r="A77" s="57"/>
      <c r="B77" s="64"/>
      <c r="C77" s="2"/>
      <c r="D77" s="2"/>
      <c r="E77" s="2"/>
      <c r="F77" s="3"/>
      <c r="G77" s="64"/>
      <c r="H77" s="2"/>
      <c r="I77" s="2"/>
      <c r="J77" s="2"/>
      <c r="K77" s="3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57"/>
      <c r="W77" s="57"/>
      <c r="X77" s="57"/>
      <c r="Y77" s="57"/>
      <c r="Z77" s="57"/>
    </row>
    <row r="78" ht="15.75" customHeight="1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57"/>
      <c r="W78" s="57"/>
      <c r="X78" s="57"/>
      <c r="Y78" s="57"/>
      <c r="Z78" s="57"/>
    </row>
    <row r="79" ht="15.75" customHeight="1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  <c r="U79" s="57"/>
      <c r="V79" s="57"/>
      <c r="W79" s="57"/>
      <c r="X79" s="57"/>
      <c r="Y79" s="57"/>
      <c r="Z79" s="57"/>
    </row>
    <row r="80" ht="15.75" customHeight="1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7"/>
      <c r="X80" s="57"/>
      <c r="Y80" s="57"/>
      <c r="Z80" s="57"/>
    </row>
    <row r="81" ht="15.75" customHeight="1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X81" s="57"/>
      <c r="Y81" s="57"/>
      <c r="Z81" s="57"/>
    </row>
    <row r="82" ht="15.75" customHeight="1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  <c r="U82" s="57"/>
      <c r="V82" s="57"/>
      <c r="W82" s="57"/>
      <c r="X82" s="57"/>
      <c r="Y82" s="57"/>
      <c r="Z82" s="57"/>
    </row>
    <row r="83" ht="15.75" customHeight="1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  <c r="U83" s="57"/>
      <c r="V83" s="57"/>
      <c r="W83" s="57"/>
      <c r="X83" s="57"/>
      <c r="Y83" s="57"/>
      <c r="Z83" s="57"/>
    </row>
    <row r="84" ht="15.75" customHeight="1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  <c r="U84" s="57"/>
      <c r="V84" s="57"/>
      <c r="W84" s="57"/>
      <c r="X84" s="57"/>
      <c r="Y84" s="57"/>
      <c r="Z84" s="57"/>
    </row>
    <row r="85" ht="15.75" customHeight="1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X85" s="57"/>
      <c r="Y85" s="57"/>
      <c r="Z85" s="57"/>
    </row>
    <row r="86" ht="15.75" customHeight="1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7"/>
      <c r="X86" s="57"/>
      <c r="Y86" s="57"/>
      <c r="Z86" s="57"/>
    </row>
    <row r="87" ht="15.75" customHeight="1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X87" s="57"/>
      <c r="Y87" s="57"/>
      <c r="Z87" s="57"/>
    </row>
    <row r="88" ht="15.75" customHeight="1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  <c r="U88" s="57"/>
      <c r="V88" s="57"/>
      <c r="W88" s="57"/>
      <c r="X88" s="57"/>
      <c r="Y88" s="57"/>
      <c r="Z88" s="57"/>
    </row>
    <row r="89" ht="15.75" customHeight="1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</row>
    <row r="90" ht="15.75" customHeight="1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  <c r="U90" s="57"/>
      <c r="V90" s="57"/>
      <c r="W90" s="57"/>
      <c r="X90" s="57"/>
      <c r="Y90" s="57"/>
      <c r="Z90" s="57"/>
    </row>
    <row r="91" ht="15.75" customHeight="1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7"/>
      <c r="X91" s="57"/>
      <c r="Y91" s="57"/>
      <c r="Z91" s="57"/>
    </row>
    <row r="92" ht="15.75" customHeight="1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  <c r="U92" s="57"/>
      <c r="V92" s="57"/>
      <c r="W92" s="57"/>
      <c r="X92" s="57"/>
      <c r="Y92" s="57"/>
      <c r="Z92" s="57"/>
    </row>
    <row r="93" ht="15.75" customHeight="1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  <c r="U93" s="57"/>
      <c r="V93" s="57"/>
      <c r="W93" s="57"/>
      <c r="X93" s="57"/>
      <c r="Y93" s="57"/>
      <c r="Z93" s="57"/>
    </row>
    <row r="94" ht="15.75" customHeight="1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</row>
    <row r="95" ht="15.75" customHeight="1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  <c r="U95" s="57"/>
      <c r="V95" s="57"/>
      <c r="W95" s="57"/>
      <c r="X95" s="57"/>
      <c r="Y95" s="57"/>
      <c r="Z95" s="57"/>
    </row>
    <row r="96" ht="15.75" customHeight="1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</row>
    <row r="97" ht="15.75" customHeight="1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57"/>
      <c r="Z97" s="57"/>
    </row>
    <row r="98" ht="15.75" customHeight="1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  <c r="U98" s="57"/>
      <c r="V98" s="57"/>
      <c r="W98" s="57"/>
      <c r="X98" s="57"/>
      <c r="Y98" s="57"/>
      <c r="Z98" s="57"/>
    </row>
    <row r="99" ht="15.75" customHeight="1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57"/>
    </row>
    <row r="100" ht="15.75" customHeight="1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  <c r="U100" s="57"/>
      <c r="V100" s="57"/>
      <c r="W100" s="57"/>
      <c r="X100" s="57"/>
      <c r="Y100" s="57"/>
      <c r="Z100" s="57"/>
    </row>
    <row r="101" ht="15.75" customHeight="1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  <c r="U101" s="57"/>
      <c r="V101" s="57"/>
      <c r="W101" s="57"/>
      <c r="X101" s="57"/>
      <c r="Y101" s="57"/>
      <c r="Z101" s="57"/>
    </row>
    <row r="102" ht="15.75" customHeight="1">
      <c r="A102" s="57"/>
      <c r="B102" s="57"/>
      <c r="C102" s="57"/>
      <c r="D102" s="57"/>
      <c r="E102" s="57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  <c r="T102" s="57"/>
      <c r="U102" s="57"/>
      <c r="V102" s="57"/>
      <c r="W102" s="57"/>
      <c r="X102" s="57"/>
      <c r="Y102" s="57"/>
      <c r="Z102" s="57"/>
    </row>
    <row r="103" ht="15.75" customHeight="1">
      <c r="A103" s="57"/>
      <c r="B103" s="57"/>
      <c r="C103" s="57"/>
      <c r="D103" s="57"/>
      <c r="E103" s="57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  <c r="T103" s="57"/>
      <c r="U103" s="57"/>
      <c r="V103" s="57"/>
      <c r="W103" s="57"/>
      <c r="X103" s="57"/>
      <c r="Y103" s="57"/>
      <c r="Z103" s="57"/>
    </row>
    <row r="104" ht="15.75" customHeight="1">
      <c r="A104" s="57"/>
      <c r="B104" s="57"/>
      <c r="C104" s="57"/>
      <c r="D104" s="57"/>
      <c r="E104" s="57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  <c r="T104" s="57"/>
      <c r="U104" s="57"/>
      <c r="V104" s="57"/>
      <c r="W104" s="57"/>
      <c r="X104" s="57"/>
      <c r="Y104" s="57"/>
      <c r="Z104" s="57"/>
    </row>
    <row r="105" ht="15.75" customHeight="1">
      <c r="A105" s="57"/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</row>
    <row r="106" ht="15.75" customHeight="1">
      <c r="A106" s="57"/>
      <c r="B106" s="57"/>
      <c r="C106" s="57"/>
      <c r="D106" s="57"/>
      <c r="E106" s="57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  <c r="T106" s="57"/>
      <c r="U106" s="57"/>
      <c r="V106" s="57"/>
      <c r="W106" s="57"/>
      <c r="X106" s="57"/>
      <c r="Y106" s="57"/>
      <c r="Z106" s="57"/>
    </row>
    <row r="107" ht="15.75" customHeight="1">
      <c r="A107" s="57"/>
      <c r="B107" s="57"/>
      <c r="C107" s="57"/>
      <c r="D107" s="57"/>
      <c r="E107" s="57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  <c r="T107" s="57"/>
      <c r="U107" s="57"/>
      <c r="V107" s="57"/>
      <c r="W107" s="57"/>
      <c r="X107" s="57"/>
      <c r="Y107" s="57"/>
      <c r="Z107" s="57"/>
    </row>
    <row r="108" ht="15.75" customHeight="1">
      <c r="A108" s="57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X108" s="57"/>
      <c r="Y108" s="57"/>
      <c r="Z108" s="57"/>
    </row>
    <row r="109" ht="15.75" customHeight="1">
      <c r="A109" s="57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57"/>
      <c r="W109" s="57"/>
      <c r="X109" s="57"/>
      <c r="Y109" s="57"/>
      <c r="Z109" s="57"/>
    </row>
    <row r="110" ht="15.75" customHeight="1">
      <c r="A110" s="57"/>
      <c r="B110" s="57"/>
      <c r="C110" s="57"/>
      <c r="D110" s="57"/>
      <c r="E110" s="57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  <c r="T110" s="57"/>
      <c r="U110" s="57"/>
      <c r="V110" s="57"/>
      <c r="W110" s="57"/>
      <c r="X110" s="57"/>
      <c r="Y110" s="57"/>
      <c r="Z110" s="57"/>
    </row>
    <row r="111" ht="15.75" customHeight="1">
      <c r="A111" s="57"/>
      <c r="B111" s="57"/>
      <c r="C111" s="57"/>
      <c r="D111" s="57"/>
      <c r="E111" s="57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  <c r="T111" s="57"/>
      <c r="U111" s="57"/>
      <c r="V111" s="57"/>
      <c r="W111" s="57"/>
      <c r="X111" s="57"/>
      <c r="Y111" s="57"/>
      <c r="Z111" s="57"/>
    </row>
    <row r="112" ht="15.75" customHeight="1">
      <c r="A112" s="57"/>
      <c r="B112" s="57"/>
      <c r="C112" s="57"/>
      <c r="D112" s="57"/>
      <c r="E112" s="57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  <c r="T112" s="57"/>
      <c r="U112" s="57"/>
      <c r="V112" s="57"/>
      <c r="W112" s="57"/>
      <c r="X112" s="57"/>
      <c r="Y112" s="57"/>
      <c r="Z112" s="57"/>
    </row>
    <row r="113" ht="15.75" customHeight="1">
      <c r="A113" s="57"/>
      <c r="B113" s="57"/>
      <c r="C113" s="57"/>
      <c r="D113" s="57"/>
      <c r="E113" s="57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  <c r="T113" s="57"/>
      <c r="U113" s="57"/>
      <c r="V113" s="57"/>
      <c r="W113" s="57"/>
      <c r="X113" s="57"/>
      <c r="Y113" s="57"/>
      <c r="Z113" s="57"/>
    </row>
    <row r="114" ht="15.75" customHeight="1">
      <c r="A114" s="57"/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X114" s="57"/>
      <c r="Y114" s="57"/>
      <c r="Z114" s="57"/>
    </row>
    <row r="115" ht="15.75" customHeight="1">
      <c r="A115" s="57"/>
      <c r="B115" s="57"/>
      <c r="C115" s="57"/>
      <c r="D115" s="57"/>
      <c r="E115" s="57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  <c r="T115" s="57"/>
      <c r="U115" s="57"/>
      <c r="V115" s="57"/>
      <c r="W115" s="57"/>
      <c r="X115" s="57"/>
      <c r="Y115" s="57"/>
      <c r="Z115" s="57"/>
    </row>
    <row r="116" ht="15.75" customHeight="1">
      <c r="A116" s="57"/>
      <c r="B116" s="57"/>
      <c r="C116" s="57"/>
      <c r="D116" s="57"/>
      <c r="E116" s="57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  <c r="T116" s="57"/>
      <c r="U116" s="57"/>
      <c r="V116" s="57"/>
      <c r="W116" s="57"/>
      <c r="X116" s="57"/>
      <c r="Y116" s="57"/>
      <c r="Z116" s="57"/>
    </row>
    <row r="117" ht="15.75" customHeight="1">
      <c r="A117" s="57"/>
      <c r="B117" s="57"/>
      <c r="C117" s="57"/>
      <c r="D117" s="57"/>
      <c r="E117" s="57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  <c r="T117" s="57"/>
      <c r="U117" s="57"/>
      <c r="V117" s="57"/>
      <c r="W117" s="57"/>
      <c r="X117" s="57"/>
      <c r="Y117" s="57"/>
      <c r="Z117" s="57"/>
    </row>
    <row r="118" ht="15.75" customHeight="1">
      <c r="A118" s="57"/>
      <c r="B118" s="57"/>
      <c r="C118" s="57"/>
      <c r="D118" s="57"/>
      <c r="E118" s="57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  <c r="T118" s="57"/>
      <c r="U118" s="57"/>
      <c r="V118" s="57"/>
      <c r="W118" s="57"/>
      <c r="X118" s="57"/>
      <c r="Y118" s="57"/>
      <c r="Z118" s="57"/>
    </row>
    <row r="119" ht="15.75" customHeight="1">
      <c r="A119" s="57"/>
      <c r="B119" s="57"/>
      <c r="C119" s="57"/>
      <c r="D119" s="57"/>
      <c r="E119" s="57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  <c r="T119" s="57"/>
      <c r="U119" s="57"/>
      <c r="V119" s="57"/>
      <c r="W119" s="57"/>
      <c r="X119" s="57"/>
      <c r="Y119" s="57"/>
      <c r="Z119" s="57"/>
    </row>
    <row r="120" ht="15.75" customHeight="1">
      <c r="A120" s="57"/>
      <c r="B120" s="57"/>
      <c r="C120" s="57"/>
      <c r="D120" s="57"/>
      <c r="E120" s="57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7"/>
      <c r="X120" s="57"/>
      <c r="Y120" s="57"/>
      <c r="Z120" s="57"/>
    </row>
    <row r="121" ht="15.75" customHeight="1">
      <c r="A121" s="57"/>
      <c r="B121" s="57"/>
      <c r="C121" s="57"/>
      <c r="D121" s="57"/>
      <c r="E121" s="57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  <c r="T121" s="57"/>
      <c r="U121" s="57"/>
      <c r="V121" s="57"/>
      <c r="W121" s="57"/>
      <c r="X121" s="57"/>
      <c r="Y121" s="57"/>
      <c r="Z121" s="57"/>
    </row>
    <row r="122" ht="15.75" customHeight="1">
      <c r="A122" s="57"/>
      <c r="B122" s="57"/>
      <c r="C122" s="57"/>
      <c r="D122" s="57"/>
      <c r="E122" s="57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  <c r="T122" s="57"/>
      <c r="U122" s="57"/>
      <c r="V122" s="57"/>
      <c r="W122" s="57"/>
      <c r="X122" s="57"/>
      <c r="Y122" s="57"/>
      <c r="Z122" s="57"/>
    </row>
    <row r="123" ht="15.75" customHeight="1">
      <c r="A123" s="57"/>
      <c r="B123" s="57"/>
      <c r="C123" s="57"/>
      <c r="D123" s="57"/>
      <c r="E123" s="57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  <c r="T123" s="57"/>
      <c r="U123" s="57"/>
      <c r="V123" s="57"/>
      <c r="W123" s="57"/>
      <c r="X123" s="57"/>
      <c r="Y123" s="57"/>
      <c r="Z123" s="57"/>
    </row>
    <row r="124" ht="15.75" customHeight="1">
      <c r="A124" s="57"/>
      <c r="B124" s="57"/>
      <c r="C124" s="57"/>
      <c r="D124" s="57"/>
      <c r="E124" s="57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  <c r="T124" s="57"/>
      <c r="U124" s="57"/>
      <c r="V124" s="57"/>
      <c r="W124" s="57"/>
      <c r="X124" s="57"/>
      <c r="Y124" s="57"/>
      <c r="Z124" s="57"/>
    </row>
    <row r="125" ht="15.75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  <c r="X125" s="57"/>
      <c r="Y125" s="57"/>
      <c r="Z125" s="57"/>
    </row>
    <row r="126" ht="15.75" customHeight="1">
      <c r="A126" s="57"/>
      <c r="B126" s="57"/>
      <c r="C126" s="57"/>
      <c r="D126" s="57"/>
      <c r="E126" s="57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  <c r="T126" s="57"/>
      <c r="U126" s="57"/>
      <c r="V126" s="57"/>
      <c r="W126" s="57"/>
      <c r="X126" s="57"/>
      <c r="Y126" s="57"/>
      <c r="Z126" s="57"/>
    </row>
    <row r="127" ht="15.75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7"/>
      <c r="X127" s="57"/>
      <c r="Y127" s="57"/>
      <c r="Z127" s="57"/>
    </row>
    <row r="128" ht="15.75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  <c r="T128" s="57"/>
      <c r="U128" s="57"/>
      <c r="V128" s="57"/>
      <c r="W128" s="57"/>
      <c r="X128" s="57"/>
      <c r="Y128" s="57"/>
      <c r="Z128" s="57"/>
    </row>
    <row r="129" ht="15.75" customHeight="1">
      <c r="A129" s="57"/>
      <c r="B129" s="57"/>
      <c r="C129" s="57"/>
      <c r="D129" s="57"/>
      <c r="E129" s="57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  <c r="T129" s="57"/>
      <c r="U129" s="57"/>
      <c r="V129" s="57"/>
      <c r="W129" s="57"/>
      <c r="X129" s="57"/>
      <c r="Y129" s="57"/>
      <c r="Z129" s="57"/>
    </row>
    <row r="130" ht="15.75" customHeight="1">
      <c r="A130" s="57"/>
      <c r="B130" s="57"/>
      <c r="C130" s="57"/>
      <c r="D130" s="57"/>
      <c r="E130" s="57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  <c r="T130" s="57"/>
      <c r="U130" s="57"/>
      <c r="V130" s="57"/>
      <c r="W130" s="57"/>
      <c r="X130" s="57"/>
      <c r="Y130" s="57"/>
      <c r="Z130" s="57"/>
    </row>
    <row r="131" ht="15.75" customHeight="1">
      <c r="A131" s="57"/>
      <c r="B131" s="57"/>
      <c r="C131" s="57"/>
      <c r="D131" s="57"/>
      <c r="E131" s="57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  <c r="T131" s="57"/>
      <c r="U131" s="57"/>
      <c r="V131" s="57"/>
      <c r="W131" s="57"/>
      <c r="X131" s="57"/>
      <c r="Y131" s="57"/>
      <c r="Z131" s="57"/>
    </row>
    <row r="132" ht="15.75" customHeight="1">
      <c r="A132" s="57"/>
      <c r="B132" s="57"/>
      <c r="C132" s="57"/>
      <c r="D132" s="57"/>
      <c r="E132" s="57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7"/>
      <c r="X132" s="57"/>
      <c r="Y132" s="57"/>
      <c r="Z132" s="57"/>
    </row>
    <row r="133" ht="15.75" customHeight="1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  <c r="T133" s="57"/>
      <c r="U133" s="57"/>
      <c r="V133" s="57"/>
      <c r="W133" s="57"/>
      <c r="X133" s="57"/>
      <c r="Y133" s="57"/>
      <c r="Z133" s="57"/>
    </row>
    <row r="134" ht="15.75" customHeight="1">
      <c r="A134" s="57"/>
      <c r="B134" s="57"/>
      <c r="C134" s="57"/>
      <c r="D134" s="57"/>
      <c r="E134" s="57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  <c r="T134" s="57"/>
      <c r="U134" s="57"/>
      <c r="V134" s="57"/>
      <c r="W134" s="57"/>
      <c r="X134" s="57"/>
      <c r="Y134" s="57"/>
      <c r="Z134" s="57"/>
    </row>
    <row r="135" ht="15.75" customHeight="1">
      <c r="A135" s="57"/>
      <c r="B135" s="57"/>
      <c r="C135" s="57"/>
      <c r="D135" s="57"/>
      <c r="E135" s="57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  <c r="T135" s="57"/>
      <c r="U135" s="57"/>
      <c r="V135" s="57"/>
      <c r="W135" s="57"/>
      <c r="X135" s="57"/>
      <c r="Y135" s="57"/>
      <c r="Z135" s="57"/>
    </row>
    <row r="136" ht="15.75" customHeight="1">
      <c r="A136" s="57"/>
      <c r="B136" s="57"/>
      <c r="C136" s="57"/>
      <c r="D136" s="57"/>
      <c r="E136" s="57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  <c r="T136" s="57"/>
      <c r="U136" s="57"/>
      <c r="V136" s="57"/>
      <c r="W136" s="57"/>
      <c r="X136" s="57"/>
      <c r="Y136" s="57"/>
      <c r="Z136" s="57"/>
    </row>
    <row r="137" ht="15.75" customHeight="1">
      <c r="A137" s="57"/>
      <c r="B137" s="57"/>
      <c r="C137" s="57"/>
      <c r="D137" s="57"/>
      <c r="E137" s="57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57"/>
    </row>
    <row r="138" ht="15.75" customHeight="1">
      <c r="A138" s="57"/>
      <c r="B138" s="57"/>
      <c r="C138" s="57"/>
      <c r="D138" s="57"/>
      <c r="E138" s="57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  <c r="T138" s="57"/>
      <c r="U138" s="57"/>
      <c r="V138" s="57"/>
      <c r="W138" s="57"/>
      <c r="X138" s="57"/>
      <c r="Y138" s="57"/>
      <c r="Z138" s="57"/>
    </row>
    <row r="139" ht="15.75" customHeight="1">
      <c r="A139" s="57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  <c r="T139" s="57"/>
      <c r="U139" s="57"/>
      <c r="V139" s="57"/>
      <c r="W139" s="57"/>
      <c r="X139" s="57"/>
      <c r="Y139" s="57"/>
      <c r="Z139" s="57"/>
    </row>
    <row r="140" ht="15.75" customHeight="1">
      <c r="A140" s="57"/>
      <c r="B140" s="57"/>
      <c r="C140" s="57"/>
      <c r="D140" s="57"/>
      <c r="E140" s="57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7"/>
      <c r="X140" s="57"/>
      <c r="Y140" s="57"/>
      <c r="Z140" s="57"/>
    </row>
    <row r="141" ht="15.75" customHeight="1">
      <c r="A141" s="57"/>
      <c r="B141" s="57"/>
      <c r="C141" s="57"/>
      <c r="D141" s="57"/>
      <c r="E141" s="57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  <c r="T141" s="57"/>
      <c r="U141" s="57"/>
      <c r="V141" s="57"/>
      <c r="W141" s="57"/>
      <c r="X141" s="57"/>
      <c r="Y141" s="57"/>
      <c r="Z141" s="57"/>
    </row>
    <row r="142" ht="15.75" customHeight="1">
      <c r="A142" s="57"/>
      <c r="B142" s="57"/>
      <c r="C142" s="57"/>
      <c r="D142" s="57"/>
      <c r="E142" s="57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  <c r="T142" s="57"/>
      <c r="U142" s="57"/>
      <c r="V142" s="57"/>
      <c r="W142" s="57"/>
      <c r="X142" s="57"/>
      <c r="Y142" s="57"/>
      <c r="Z142" s="57"/>
    </row>
    <row r="143" ht="15.75" customHeight="1">
      <c r="A143" s="57"/>
      <c r="B143" s="57"/>
      <c r="C143" s="57"/>
      <c r="D143" s="57"/>
      <c r="E143" s="57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  <c r="T143" s="57"/>
      <c r="U143" s="57"/>
      <c r="V143" s="57"/>
      <c r="W143" s="57"/>
      <c r="X143" s="57"/>
      <c r="Y143" s="57"/>
      <c r="Z143" s="57"/>
    </row>
    <row r="144" ht="15.75" customHeight="1">
      <c r="A144" s="57"/>
      <c r="B144" s="57"/>
      <c r="C144" s="57"/>
      <c r="D144" s="57"/>
      <c r="E144" s="57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  <c r="T144" s="57"/>
      <c r="U144" s="57"/>
      <c r="V144" s="57"/>
      <c r="W144" s="57"/>
      <c r="X144" s="57"/>
      <c r="Y144" s="57"/>
      <c r="Z144" s="57"/>
    </row>
    <row r="145" ht="15.75" customHeight="1">
      <c r="A145" s="57"/>
      <c r="B145" s="57"/>
      <c r="C145" s="57"/>
      <c r="D145" s="57"/>
      <c r="E145" s="57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7"/>
      <c r="X145" s="57"/>
      <c r="Y145" s="57"/>
      <c r="Z145" s="57"/>
    </row>
    <row r="146" ht="15.75" customHeight="1">
      <c r="A146" s="57"/>
      <c r="B146" s="57"/>
      <c r="C146" s="57"/>
      <c r="D146" s="57"/>
      <c r="E146" s="57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  <c r="T146" s="57"/>
      <c r="U146" s="57"/>
      <c r="V146" s="57"/>
      <c r="W146" s="57"/>
      <c r="X146" s="57"/>
      <c r="Y146" s="57"/>
      <c r="Z146" s="57"/>
    </row>
    <row r="147" ht="15.75" customHeight="1">
      <c r="A147" s="57"/>
      <c r="B147" s="57"/>
      <c r="C147" s="57"/>
      <c r="D147" s="57"/>
      <c r="E147" s="57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  <c r="T147" s="57"/>
      <c r="U147" s="57"/>
      <c r="V147" s="57"/>
      <c r="W147" s="57"/>
      <c r="X147" s="57"/>
      <c r="Y147" s="57"/>
      <c r="Z147" s="57"/>
    </row>
    <row r="148" ht="15.75" customHeight="1">
      <c r="A148" s="57"/>
      <c r="B148" s="57"/>
      <c r="C148" s="57"/>
      <c r="D148" s="57"/>
      <c r="E148" s="57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  <c r="T148" s="57"/>
      <c r="U148" s="57"/>
      <c r="V148" s="57"/>
      <c r="W148" s="57"/>
      <c r="X148" s="57"/>
      <c r="Y148" s="57"/>
      <c r="Z148" s="57"/>
    </row>
    <row r="149" ht="15.75" customHeight="1">
      <c r="A149" s="57"/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  <c r="T149" s="57"/>
      <c r="U149" s="57"/>
      <c r="V149" s="57"/>
      <c r="W149" s="57"/>
      <c r="X149" s="57"/>
      <c r="Y149" s="57"/>
      <c r="Z149" s="57"/>
    </row>
    <row r="150" ht="15.75" customHeight="1">
      <c r="A150" s="57"/>
      <c r="B150" s="57"/>
      <c r="C150" s="57"/>
      <c r="D150" s="57"/>
      <c r="E150" s="57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  <c r="T150" s="57"/>
      <c r="U150" s="57"/>
      <c r="V150" s="57"/>
      <c r="W150" s="57"/>
      <c r="X150" s="57"/>
      <c r="Y150" s="57"/>
      <c r="Z150" s="57"/>
    </row>
    <row r="151" ht="15.75" customHeight="1">
      <c r="A151" s="57"/>
      <c r="B151" s="57"/>
      <c r="C151" s="57"/>
      <c r="D151" s="57"/>
      <c r="E151" s="57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  <c r="T151" s="57"/>
      <c r="U151" s="57"/>
      <c r="V151" s="57"/>
      <c r="W151" s="57"/>
      <c r="X151" s="57"/>
      <c r="Y151" s="57"/>
      <c r="Z151" s="57"/>
    </row>
    <row r="152" ht="15.75" customHeight="1">
      <c r="A152" s="57"/>
      <c r="B152" s="57"/>
      <c r="C152" s="57"/>
      <c r="D152" s="57"/>
      <c r="E152" s="57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  <c r="T152" s="57"/>
      <c r="U152" s="57"/>
      <c r="V152" s="57"/>
      <c r="W152" s="57"/>
      <c r="X152" s="57"/>
      <c r="Y152" s="57"/>
      <c r="Z152" s="57"/>
    </row>
    <row r="153" ht="15.75" customHeight="1">
      <c r="A153" s="57"/>
      <c r="B153" s="57"/>
      <c r="C153" s="57"/>
      <c r="D153" s="57"/>
      <c r="E153" s="57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7"/>
      <c r="X153" s="57"/>
      <c r="Y153" s="57"/>
      <c r="Z153" s="57"/>
    </row>
    <row r="154" ht="15.75" customHeight="1">
      <c r="A154" s="57"/>
      <c r="B154" s="57"/>
      <c r="C154" s="57"/>
      <c r="D154" s="57"/>
      <c r="E154" s="57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  <c r="T154" s="57"/>
      <c r="U154" s="57"/>
      <c r="V154" s="57"/>
      <c r="W154" s="57"/>
      <c r="X154" s="57"/>
      <c r="Y154" s="57"/>
      <c r="Z154" s="57"/>
    </row>
    <row r="155" ht="15.75" customHeight="1">
      <c r="A155" s="57"/>
      <c r="B155" s="57"/>
      <c r="C155" s="57"/>
      <c r="D155" s="57"/>
      <c r="E155" s="57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  <c r="T155" s="57"/>
      <c r="U155" s="57"/>
      <c r="V155" s="57"/>
      <c r="W155" s="57"/>
      <c r="X155" s="57"/>
      <c r="Y155" s="57"/>
      <c r="Z155" s="57"/>
    </row>
    <row r="156" ht="15.75" customHeight="1">
      <c r="A156" s="57"/>
      <c r="B156" s="57"/>
      <c r="C156" s="57"/>
      <c r="D156" s="57"/>
      <c r="E156" s="57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  <c r="T156" s="57"/>
      <c r="U156" s="57"/>
      <c r="V156" s="57"/>
      <c r="W156" s="57"/>
      <c r="X156" s="57"/>
      <c r="Y156" s="57"/>
      <c r="Z156" s="57"/>
    </row>
    <row r="157" ht="15.75" customHeight="1">
      <c r="A157" s="57"/>
      <c r="B157" s="57"/>
      <c r="C157" s="57"/>
      <c r="D157" s="57"/>
      <c r="E157" s="57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  <c r="T157" s="57"/>
      <c r="U157" s="57"/>
      <c r="V157" s="57"/>
      <c r="W157" s="57"/>
      <c r="X157" s="57"/>
      <c r="Y157" s="57"/>
      <c r="Z157" s="57"/>
    </row>
    <row r="158" ht="15.75" customHeight="1">
      <c r="A158" s="57"/>
      <c r="B158" s="57"/>
      <c r="C158" s="57"/>
      <c r="D158" s="57"/>
      <c r="E158" s="57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7"/>
      <c r="X158" s="57"/>
      <c r="Y158" s="57"/>
      <c r="Z158" s="57"/>
    </row>
    <row r="159" ht="15.75" customHeight="1">
      <c r="A159" s="57"/>
      <c r="B159" s="57"/>
      <c r="C159" s="57"/>
      <c r="D159" s="57"/>
      <c r="E159" s="57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  <c r="T159" s="57"/>
      <c r="U159" s="57"/>
      <c r="V159" s="57"/>
      <c r="W159" s="57"/>
      <c r="X159" s="57"/>
      <c r="Y159" s="57"/>
      <c r="Z159" s="57"/>
    </row>
    <row r="160" ht="15.75" customHeight="1">
      <c r="A160" s="57"/>
      <c r="B160" s="57"/>
      <c r="C160" s="57"/>
      <c r="D160" s="57"/>
      <c r="E160" s="57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  <c r="T160" s="57"/>
      <c r="U160" s="57"/>
      <c r="V160" s="57"/>
      <c r="W160" s="57"/>
      <c r="X160" s="57"/>
      <c r="Y160" s="57"/>
      <c r="Z160" s="57"/>
    </row>
    <row r="161" ht="15.75" customHeight="1">
      <c r="A161" s="57"/>
      <c r="B161" s="57"/>
      <c r="C161" s="57"/>
      <c r="D161" s="57"/>
      <c r="E161" s="57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  <c r="T161" s="57"/>
      <c r="U161" s="57"/>
      <c r="V161" s="57"/>
      <c r="W161" s="57"/>
      <c r="X161" s="57"/>
      <c r="Y161" s="57"/>
      <c r="Z161" s="57"/>
    </row>
    <row r="162" ht="15.75" customHeight="1">
      <c r="A162" s="57"/>
      <c r="B162" s="57"/>
      <c r="C162" s="57"/>
      <c r="D162" s="57"/>
      <c r="E162" s="57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  <c r="T162" s="57"/>
      <c r="U162" s="57"/>
      <c r="V162" s="57"/>
      <c r="W162" s="57"/>
      <c r="X162" s="57"/>
      <c r="Y162" s="57"/>
      <c r="Z162" s="57"/>
    </row>
    <row r="163" ht="15.75" customHeight="1">
      <c r="A163" s="57"/>
      <c r="B163" s="57"/>
      <c r="C163" s="57"/>
      <c r="D163" s="57"/>
      <c r="E163" s="57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  <c r="T163" s="57"/>
      <c r="U163" s="57"/>
      <c r="V163" s="57"/>
      <c r="W163" s="57"/>
      <c r="X163" s="57"/>
      <c r="Y163" s="57"/>
      <c r="Z163" s="57"/>
    </row>
    <row r="164" ht="15.75" customHeight="1">
      <c r="A164" s="57"/>
      <c r="B164" s="57"/>
      <c r="C164" s="57"/>
      <c r="D164" s="57"/>
      <c r="E164" s="57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  <c r="T164" s="57"/>
      <c r="U164" s="57"/>
      <c r="V164" s="57"/>
      <c r="W164" s="57"/>
      <c r="X164" s="57"/>
      <c r="Y164" s="57"/>
      <c r="Z164" s="57"/>
    </row>
    <row r="165" ht="15.75" customHeight="1">
      <c r="A165" s="57"/>
      <c r="B165" s="57"/>
      <c r="C165" s="57"/>
      <c r="D165" s="57"/>
      <c r="E165" s="57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  <c r="T165" s="57"/>
      <c r="U165" s="57"/>
      <c r="V165" s="57"/>
      <c r="W165" s="57"/>
      <c r="X165" s="57"/>
      <c r="Y165" s="57"/>
      <c r="Z165" s="57"/>
    </row>
    <row r="166" ht="15.75" customHeight="1">
      <c r="A166" s="57"/>
      <c r="B166" s="57"/>
      <c r="C166" s="57"/>
      <c r="D166" s="57"/>
      <c r="E166" s="57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7"/>
      <c r="X166" s="57"/>
      <c r="Y166" s="57"/>
      <c r="Z166" s="57"/>
    </row>
    <row r="167" ht="15.75" customHeight="1">
      <c r="A167" s="57"/>
      <c r="B167" s="57"/>
      <c r="C167" s="57"/>
      <c r="D167" s="57"/>
      <c r="E167" s="57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  <c r="S167" s="57"/>
      <c r="T167" s="57"/>
      <c r="U167" s="57"/>
      <c r="V167" s="57"/>
      <c r="W167" s="57"/>
      <c r="X167" s="57"/>
      <c r="Y167" s="57"/>
      <c r="Z167" s="57"/>
    </row>
    <row r="168" ht="15.75" customHeight="1">
      <c r="A168" s="57"/>
      <c r="B168" s="57"/>
      <c r="C168" s="57"/>
      <c r="D168" s="57"/>
      <c r="E168" s="57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  <c r="S168" s="57"/>
      <c r="T168" s="57"/>
      <c r="U168" s="57"/>
      <c r="V168" s="57"/>
      <c r="W168" s="57"/>
      <c r="X168" s="57"/>
      <c r="Y168" s="57"/>
      <c r="Z168" s="57"/>
    </row>
    <row r="169" ht="15.75" customHeight="1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X169" s="57"/>
      <c r="Y169" s="57"/>
      <c r="Z169" s="57"/>
    </row>
    <row r="170" ht="15.75" customHeight="1">
      <c r="A170" s="57"/>
      <c r="B170" s="57"/>
      <c r="C170" s="57"/>
      <c r="D170" s="57"/>
      <c r="E170" s="57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  <c r="S170" s="57"/>
      <c r="T170" s="57"/>
      <c r="U170" s="57"/>
      <c r="V170" s="57"/>
      <c r="W170" s="57"/>
      <c r="X170" s="57"/>
      <c r="Y170" s="57"/>
      <c r="Z170" s="57"/>
    </row>
    <row r="171" ht="15.75" customHeight="1">
      <c r="A171" s="57"/>
      <c r="B171" s="57"/>
      <c r="C171" s="57"/>
      <c r="D171" s="57"/>
      <c r="E171" s="57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  <c r="S171" s="57"/>
      <c r="T171" s="57"/>
      <c r="U171" s="57"/>
      <c r="V171" s="57"/>
      <c r="W171" s="57"/>
      <c r="X171" s="57"/>
      <c r="Y171" s="57"/>
      <c r="Z171" s="57"/>
    </row>
    <row r="172" ht="15.75" customHeight="1">
      <c r="A172" s="57"/>
      <c r="B172" s="57"/>
      <c r="C172" s="57"/>
      <c r="D172" s="57"/>
      <c r="E172" s="57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  <c r="S172" s="57"/>
      <c r="T172" s="57"/>
      <c r="U172" s="57"/>
      <c r="V172" s="57"/>
      <c r="W172" s="57"/>
      <c r="X172" s="57"/>
      <c r="Y172" s="57"/>
      <c r="Z172" s="57"/>
    </row>
    <row r="173" ht="15.75" customHeight="1">
      <c r="A173" s="57"/>
      <c r="B173" s="57"/>
      <c r="C173" s="57"/>
      <c r="D173" s="57"/>
      <c r="E173" s="57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  <c r="S173" s="57"/>
      <c r="T173" s="57"/>
      <c r="U173" s="57"/>
      <c r="V173" s="57"/>
      <c r="W173" s="57"/>
      <c r="X173" s="57"/>
      <c r="Y173" s="57"/>
      <c r="Z173" s="57"/>
    </row>
    <row r="174" ht="15.75" customHeight="1">
      <c r="A174" s="57"/>
      <c r="B174" s="57"/>
      <c r="C174" s="57"/>
      <c r="D174" s="57"/>
      <c r="E174" s="57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7"/>
      <c r="X174" s="57"/>
      <c r="Y174" s="57"/>
      <c r="Z174" s="57"/>
    </row>
    <row r="175" ht="15.75" customHeight="1">
      <c r="A175" s="57"/>
      <c r="B175" s="57"/>
      <c r="C175" s="57"/>
      <c r="D175" s="57"/>
      <c r="E175" s="57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57"/>
    </row>
    <row r="176" ht="15.75" customHeight="1">
      <c r="A176" s="57"/>
      <c r="B176" s="57"/>
      <c r="C176" s="57"/>
      <c r="D176" s="57"/>
      <c r="E176" s="57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  <c r="S176" s="57"/>
      <c r="T176" s="57"/>
      <c r="U176" s="57"/>
      <c r="V176" s="57"/>
      <c r="W176" s="57"/>
      <c r="X176" s="57"/>
      <c r="Y176" s="57"/>
      <c r="Z176" s="57"/>
    </row>
    <row r="177" ht="15.75" customHeight="1">
      <c r="A177" s="57"/>
      <c r="B177" s="57"/>
      <c r="C177" s="57"/>
      <c r="D177" s="57"/>
      <c r="E177" s="57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  <c r="S177" s="57"/>
      <c r="T177" s="57"/>
      <c r="U177" s="57"/>
      <c r="V177" s="57"/>
      <c r="W177" s="57"/>
      <c r="X177" s="57"/>
      <c r="Y177" s="57"/>
      <c r="Z177" s="57"/>
    </row>
    <row r="178" ht="15.75" customHeight="1">
      <c r="A178" s="57"/>
      <c r="B178" s="57"/>
      <c r="C178" s="57"/>
      <c r="D178" s="57"/>
      <c r="E178" s="57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  <c r="S178" s="57"/>
      <c r="T178" s="57"/>
      <c r="U178" s="57"/>
      <c r="V178" s="57"/>
      <c r="W178" s="57"/>
      <c r="X178" s="57"/>
      <c r="Y178" s="57"/>
      <c r="Z178" s="57"/>
    </row>
    <row r="179" ht="15.75" customHeight="1">
      <c r="A179" s="57"/>
      <c r="B179" s="57"/>
      <c r="C179" s="57"/>
      <c r="D179" s="57"/>
      <c r="E179" s="57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7"/>
      <c r="X179" s="57"/>
      <c r="Y179" s="57"/>
      <c r="Z179" s="57"/>
    </row>
    <row r="180" ht="15.75" customHeight="1">
      <c r="A180" s="57"/>
      <c r="B180" s="57"/>
      <c r="C180" s="57"/>
      <c r="D180" s="57"/>
      <c r="E180" s="57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  <c r="S180" s="57"/>
      <c r="T180" s="57"/>
      <c r="U180" s="57"/>
      <c r="V180" s="57"/>
      <c r="W180" s="57"/>
      <c r="X180" s="57"/>
      <c r="Y180" s="57"/>
      <c r="Z180" s="57"/>
    </row>
    <row r="181" ht="15.75" customHeight="1">
      <c r="A181" s="57"/>
      <c r="B181" s="57"/>
      <c r="C181" s="57"/>
      <c r="D181" s="57"/>
      <c r="E181" s="57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  <c r="S181" s="57"/>
      <c r="T181" s="57"/>
      <c r="U181" s="57"/>
      <c r="V181" s="57"/>
      <c r="W181" s="57"/>
      <c r="X181" s="57"/>
      <c r="Y181" s="57"/>
      <c r="Z181" s="57"/>
    </row>
    <row r="182" ht="15.75" customHeight="1">
      <c r="A182" s="57"/>
      <c r="B182" s="57"/>
      <c r="C182" s="57"/>
      <c r="D182" s="57"/>
      <c r="E182" s="57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  <c r="S182" s="57"/>
      <c r="T182" s="57"/>
      <c r="U182" s="57"/>
      <c r="V182" s="57"/>
      <c r="W182" s="57"/>
      <c r="X182" s="57"/>
      <c r="Y182" s="57"/>
      <c r="Z182" s="57"/>
    </row>
    <row r="183" ht="15.75" customHeight="1">
      <c r="A183" s="57"/>
      <c r="B183" s="57"/>
      <c r="C183" s="57"/>
      <c r="D183" s="57"/>
      <c r="E183" s="57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  <c r="S183" s="57"/>
      <c r="T183" s="57"/>
      <c r="U183" s="57"/>
      <c r="V183" s="57"/>
      <c r="W183" s="57"/>
      <c r="X183" s="57"/>
      <c r="Y183" s="57"/>
      <c r="Z183" s="57"/>
    </row>
    <row r="184" ht="15.75" customHeight="1">
      <c r="A184" s="57"/>
      <c r="B184" s="57"/>
      <c r="C184" s="57"/>
      <c r="D184" s="57"/>
      <c r="E184" s="57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  <c r="S184" s="57"/>
      <c r="T184" s="57"/>
      <c r="U184" s="57"/>
      <c r="V184" s="57"/>
      <c r="W184" s="57"/>
      <c r="X184" s="57"/>
      <c r="Y184" s="57"/>
      <c r="Z184" s="57"/>
    </row>
    <row r="185" ht="15.75" customHeight="1">
      <c r="A185" s="57"/>
      <c r="B185" s="57"/>
      <c r="C185" s="57"/>
      <c r="D185" s="57"/>
      <c r="E185" s="57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7"/>
      <c r="X185" s="57"/>
      <c r="Y185" s="57"/>
      <c r="Z185" s="57"/>
    </row>
    <row r="186" ht="15.75" customHeight="1">
      <c r="A186" s="57"/>
      <c r="B186" s="57"/>
      <c r="C186" s="57"/>
      <c r="D186" s="57"/>
      <c r="E186" s="57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  <c r="S186" s="57"/>
      <c r="T186" s="57"/>
      <c r="U186" s="57"/>
      <c r="V186" s="57"/>
      <c r="W186" s="57"/>
      <c r="X186" s="57"/>
      <c r="Y186" s="57"/>
      <c r="Z186" s="57"/>
    </row>
    <row r="187" ht="15.75" customHeight="1">
      <c r="A187" s="57"/>
      <c r="B187" s="57"/>
      <c r="C187" s="57"/>
      <c r="D187" s="57"/>
      <c r="E187" s="57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  <c r="S187" s="57"/>
      <c r="T187" s="57"/>
      <c r="U187" s="57"/>
      <c r="V187" s="57"/>
      <c r="W187" s="57"/>
      <c r="X187" s="57"/>
      <c r="Y187" s="57"/>
      <c r="Z187" s="57"/>
    </row>
    <row r="188" ht="15.75" customHeight="1">
      <c r="A188" s="57"/>
      <c r="B188" s="57"/>
      <c r="C188" s="57"/>
      <c r="D188" s="57"/>
      <c r="E188" s="57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  <c r="S188" s="57"/>
      <c r="T188" s="57"/>
      <c r="U188" s="57"/>
      <c r="V188" s="57"/>
      <c r="W188" s="57"/>
      <c r="X188" s="57"/>
      <c r="Y188" s="57"/>
      <c r="Z188" s="57"/>
    </row>
    <row r="189" ht="15.75" customHeight="1">
      <c r="A189" s="57"/>
      <c r="B189" s="57"/>
      <c r="C189" s="57"/>
      <c r="D189" s="57"/>
      <c r="E189" s="57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  <c r="S189" s="57"/>
      <c r="T189" s="57"/>
      <c r="U189" s="57"/>
      <c r="V189" s="57"/>
      <c r="W189" s="57"/>
      <c r="X189" s="57"/>
      <c r="Y189" s="57"/>
      <c r="Z189" s="57"/>
    </row>
    <row r="190" ht="15.75" customHeight="1">
      <c r="A190" s="57"/>
      <c r="B190" s="57"/>
      <c r="C190" s="57"/>
      <c r="D190" s="57"/>
      <c r="E190" s="57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  <c r="S190" s="57"/>
      <c r="T190" s="57"/>
      <c r="U190" s="57"/>
      <c r="V190" s="57"/>
      <c r="W190" s="57"/>
      <c r="X190" s="57"/>
      <c r="Y190" s="57"/>
      <c r="Z190" s="57"/>
    </row>
    <row r="191" ht="15.75" customHeight="1">
      <c r="A191" s="57"/>
      <c r="B191" s="57"/>
      <c r="C191" s="57"/>
      <c r="D191" s="57"/>
      <c r="E191" s="57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  <c r="S191" s="57"/>
      <c r="T191" s="57"/>
      <c r="U191" s="57"/>
      <c r="V191" s="57"/>
      <c r="W191" s="57"/>
      <c r="X191" s="57"/>
      <c r="Y191" s="57"/>
      <c r="Z191" s="57"/>
    </row>
    <row r="192" ht="15.75" customHeight="1">
      <c r="A192" s="57"/>
      <c r="B192" s="57"/>
      <c r="C192" s="57"/>
      <c r="D192" s="57"/>
      <c r="E192" s="57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  <c r="S192" s="57"/>
      <c r="T192" s="57"/>
      <c r="U192" s="57"/>
      <c r="V192" s="57"/>
      <c r="W192" s="57"/>
      <c r="X192" s="57"/>
      <c r="Y192" s="57"/>
      <c r="Z192" s="57"/>
    </row>
    <row r="193" ht="15.75" customHeight="1">
      <c r="A193" s="57"/>
      <c r="B193" s="57"/>
      <c r="C193" s="57"/>
      <c r="D193" s="57"/>
      <c r="E193" s="57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  <c r="S193" s="57"/>
      <c r="T193" s="57"/>
      <c r="U193" s="57"/>
      <c r="V193" s="57"/>
      <c r="W193" s="57"/>
      <c r="X193" s="57"/>
      <c r="Y193" s="57"/>
      <c r="Z193" s="57"/>
    </row>
    <row r="194" ht="15.75" customHeight="1">
      <c r="A194" s="57"/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X194" s="57"/>
      <c r="Y194" s="57"/>
      <c r="Z194" s="57"/>
    </row>
    <row r="195" ht="15.75" customHeight="1">
      <c r="A195" s="57"/>
      <c r="B195" s="57"/>
      <c r="C195" s="57"/>
      <c r="D195" s="57"/>
      <c r="E195" s="57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  <c r="S195" s="57"/>
      <c r="T195" s="57"/>
      <c r="U195" s="57"/>
      <c r="V195" s="57"/>
      <c r="W195" s="57"/>
      <c r="X195" s="57"/>
      <c r="Y195" s="57"/>
      <c r="Z195" s="57"/>
    </row>
    <row r="196" ht="15.75" customHeight="1">
      <c r="A196" s="57"/>
      <c r="B196" s="57"/>
      <c r="C196" s="57"/>
      <c r="D196" s="57"/>
      <c r="E196" s="57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  <c r="S196" s="57"/>
      <c r="T196" s="57"/>
      <c r="U196" s="57"/>
      <c r="V196" s="57"/>
      <c r="W196" s="57"/>
      <c r="X196" s="57"/>
      <c r="Y196" s="57"/>
      <c r="Z196" s="57"/>
    </row>
    <row r="197" ht="15.75" customHeight="1">
      <c r="A197" s="57"/>
      <c r="B197" s="57"/>
      <c r="C197" s="57"/>
      <c r="D197" s="57"/>
      <c r="E197" s="57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  <c r="S197" s="57"/>
      <c r="T197" s="57"/>
      <c r="U197" s="57"/>
      <c r="V197" s="57"/>
      <c r="W197" s="57"/>
      <c r="X197" s="57"/>
      <c r="Y197" s="57"/>
      <c r="Z197" s="57"/>
    </row>
    <row r="198" ht="15.75" customHeight="1">
      <c r="A198" s="57"/>
      <c r="B198" s="57"/>
      <c r="C198" s="57"/>
      <c r="D198" s="57"/>
      <c r="E198" s="57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  <c r="S198" s="57"/>
      <c r="T198" s="57"/>
      <c r="U198" s="57"/>
      <c r="V198" s="57"/>
      <c r="W198" s="57"/>
      <c r="X198" s="57"/>
      <c r="Y198" s="57"/>
      <c r="Z198" s="57"/>
    </row>
    <row r="199" ht="15.75" customHeight="1">
      <c r="A199" s="57"/>
      <c r="B199" s="57"/>
      <c r="C199" s="57"/>
      <c r="D199" s="57"/>
      <c r="E199" s="57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  <c r="S199" s="57"/>
      <c r="T199" s="57"/>
      <c r="U199" s="57"/>
      <c r="V199" s="57"/>
      <c r="W199" s="57"/>
      <c r="X199" s="57"/>
      <c r="Y199" s="57"/>
      <c r="Z199" s="57"/>
    </row>
    <row r="200" ht="15.75" customHeight="1">
      <c r="A200" s="57"/>
      <c r="B200" s="57"/>
      <c r="C200" s="57"/>
      <c r="D200" s="57"/>
      <c r="E200" s="57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  <c r="S200" s="57"/>
      <c r="T200" s="57"/>
      <c r="U200" s="57"/>
      <c r="V200" s="57"/>
      <c r="W200" s="57"/>
      <c r="X200" s="57"/>
      <c r="Y200" s="57"/>
      <c r="Z200" s="57"/>
    </row>
    <row r="201" ht="15.75" customHeight="1">
      <c r="A201" s="57"/>
      <c r="B201" s="57"/>
      <c r="C201" s="57"/>
      <c r="D201" s="57"/>
      <c r="E201" s="57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  <c r="S201" s="57"/>
      <c r="T201" s="57"/>
      <c r="U201" s="57"/>
      <c r="V201" s="57"/>
      <c r="W201" s="57"/>
      <c r="X201" s="57"/>
      <c r="Y201" s="57"/>
      <c r="Z201" s="57"/>
    </row>
    <row r="202" ht="15.75" customHeight="1">
      <c r="A202" s="57"/>
      <c r="B202" s="57"/>
      <c r="C202" s="57"/>
      <c r="D202" s="57"/>
      <c r="E202" s="57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  <c r="S202" s="57"/>
      <c r="T202" s="57"/>
      <c r="U202" s="57"/>
      <c r="V202" s="57"/>
      <c r="W202" s="57"/>
      <c r="X202" s="57"/>
      <c r="Y202" s="57"/>
      <c r="Z202" s="57"/>
    </row>
    <row r="203" ht="15.75" customHeight="1">
      <c r="A203" s="57"/>
      <c r="B203" s="57"/>
      <c r="C203" s="57"/>
      <c r="D203" s="57"/>
      <c r="E203" s="57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  <c r="S203" s="57"/>
      <c r="T203" s="57"/>
      <c r="U203" s="57"/>
      <c r="V203" s="57"/>
      <c r="W203" s="57"/>
      <c r="X203" s="57"/>
      <c r="Y203" s="57"/>
      <c r="Z203" s="57"/>
    </row>
    <row r="204" ht="15.75" customHeight="1">
      <c r="A204" s="57"/>
      <c r="B204" s="57"/>
      <c r="C204" s="57"/>
      <c r="D204" s="57"/>
      <c r="E204" s="57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  <c r="S204" s="57"/>
      <c r="T204" s="57"/>
      <c r="U204" s="57"/>
      <c r="V204" s="57"/>
      <c r="W204" s="57"/>
      <c r="X204" s="57"/>
      <c r="Y204" s="57"/>
      <c r="Z204" s="57"/>
    </row>
    <row r="205" ht="15.75" customHeight="1">
      <c r="A205" s="57"/>
      <c r="B205" s="57"/>
      <c r="C205" s="57"/>
      <c r="D205" s="57"/>
      <c r="E205" s="57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  <c r="S205" s="57"/>
      <c r="T205" s="57"/>
      <c r="U205" s="57"/>
      <c r="V205" s="57"/>
      <c r="W205" s="57"/>
      <c r="X205" s="57"/>
      <c r="Y205" s="57"/>
      <c r="Z205" s="57"/>
    </row>
    <row r="206" ht="15.75" customHeight="1">
      <c r="A206" s="57"/>
      <c r="B206" s="57"/>
      <c r="C206" s="57"/>
      <c r="D206" s="57"/>
      <c r="E206" s="57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  <c r="S206" s="57"/>
      <c r="T206" s="57"/>
      <c r="U206" s="57"/>
      <c r="V206" s="57"/>
      <c r="W206" s="57"/>
      <c r="X206" s="57"/>
      <c r="Y206" s="57"/>
      <c r="Z206" s="57"/>
    </row>
    <row r="207" ht="15.75" customHeight="1">
      <c r="A207" s="57"/>
      <c r="B207" s="57"/>
      <c r="C207" s="57"/>
      <c r="D207" s="57"/>
      <c r="E207" s="57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  <c r="S207" s="57"/>
      <c r="T207" s="57"/>
      <c r="U207" s="57"/>
      <c r="V207" s="57"/>
      <c r="W207" s="57"/>
      <c r="X207" s="57"/>
      <c r="Y207" s="57"/>
      <c r="Z207" s="57"/>
    </row>
    <row r="208" ht="15.75" customHeight="1">
      <c r="A208" s="57"/>
      <c r="B208" s="57"/>
      <c r="C208" s="57"/>
      <c r="D208" s="57"/>
      <c r="E208" s="57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  <c r="S208" s="57"/>
      <c r="T208" s="57"/>
      <c r="U208" s="57"/>
      <c r="V208" s="57"/>
      <c r="W208" s="57"/>
      <c r="X208" s="57"/>
      <c r="Y208" s="57"/>
      <c r="Z208" s="57"/>
    </row>
    <row r="209" ht="15.75" customHeight="1">
      <c r="A209" s="57"/>
      <c r="B209" s="57"/>
      <c r="C209" s="57"/>
      <c r="D209" s="57"/>
      <c r="E209" s="57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  <c r="S209" s="57"/>
      <c r="T209" s="57"/>
      <c r="U209" s="57"/>
      <c r="V209" s="57"/>
      <c r="W209" s="57"/>
      <c r="X209" s="57"/>
      <c r="Y209" s="57"/>
      <c r="Z209" s="57"/>
    </row>
    <row r="210" ht="15.75" customHeight="1">
      <c r="A210" s="57"/>
      <c r="B210" s="57"/>
      <c r="C210" s="57"/>
      <c r="D210" s="57"/>
      <c r="E210" s="57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  <c r="S210" s="57"/>
      <c r="T210" s="57"/>
      <c r="U210" s="57"/>
      <c r="V210" s="57"/>
      <c r="W210" s="57"/>
      <c r="X210" s="57"/>
      <c r="Y210" s="57"/>
      <c r="Z210" s="57"/>
    </row>
    <row r="211" ht="15.75" customHeight="1">
      <c r="A211" s="57"/>
      <c r="B211" s="57"/>
      <c r="C211" s="57"/>
      <c r="D211" s="57"/>
      <c r="E211" s="57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  <c r="S211" s="57"/>
      <c r="T211" s="57"/>
      <c r="U211" s="57"/>
      <c r="V211" s="57"/>
      <c r="W211" s="57"/>
      <c r="X211" s="57"/>
      <c r="Y211" s="57"/>
      <c r="Z211" s="57"/>
    </row>
    <row r="212" ht="15.75" customHeight="1">
      <c r="A212" s="57"/>
      <c r="B212" s="57"/>
      <c r="C212" s="57"/>
      <c r="D212" s="57"/>
      <c r="E212" s="57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  <c r="S212" s="57"/>
      <c r="T212" s="57"/>
      <c r="U212" s="57"/>
      <c r="V212" s="57"/>
      <c r="W212" s="57"/>
      <c r="X212" s="57"/>
      <c r="Y212" s="57"/>
      <c r="Z212" s="57"/>
    </row>
    <row r="213" ht="15.75" customHeight="1">
      <c r="A213" s="57"/>
      <c r="B213" s="57"/>
      <c r="C213" s="57"/>
      <c r="D213" s="57"/>
      <c r="E213" s="57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57"/>
    </row>
    <row r="214" ht="15.75" customHeight="1">
      <c r="A214" s="57"/>
      <c r="B214" s="57"/>
      <c r="C214" s="57"/>
      <c r="D214" s="57"/>
      <c r="E214" s="57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  <c r="S214" s="57"/>
      <c r="T214" s="57"/>
      <c r="U214" s="57"/>
      <c r="V214" s="57"/>
      <c r="W214" s="57"/>
      <c r="X214" s="57"/>
      <c r="Y214" s="57"/>
      <c r="Z214" s="57"/>
    </row>
    <row r="215" ht="15.75" customHeight="1">
      <c r="A215" s="57"/>
      <c r="B215" s="57"/>
      <c r="C215" s="57"/>
      <c r="D215" s="57"/>
      <c r="E215" s="57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  <c r="S215" s="57"/>
      <c r="T215" s="57"/>
      <c r="U215" s="57"/>
      <c r="V215" s="57"/>
      <c r="W215" s="57"/>
      <c r="X215" s="57"/>
      <c r="Y215" s="57"/>
      <c r="Z215" s="57"/>
    </row>
    <row r="216" ht="15.75" customHeight="1">
      <c r="A216" s="57"/>
      <c r="B216" s="57"/>
      <c r="C216" s="57"/>
      <c r="D216" s="57"/>
      <c r="E216" s="57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  <c r="S216" s="57"/>
      <c r="T216" s="57"/>
      <c r="U216" s="57"/>
      <c r="V216" s="57"/>
      <c r="W216" s="57"/>
      <c r="X216" s="57"/>
      <c r="Y216" s="57"/>
      <c r="Z216" s="57"/>
    </row>
    <row r="217" ht="15.75" customHeight="1">
      <c r="A217" s="57"/>
      <c r="B217" s="57"/>
      <c r="C217" s="57"/>
      <c r="D217" s="57"/>
      <c r="E217" s="57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  <c r="S217" s="57"/>
      <c r="T217" s="57"/>
      <c r="U217" s="57"/>
      <c r="V217" s="57"/>
      <c r="W217" s="57"/>
      <c r="X217" s="57"/>
      <c r="Y217" s="57"/>
      <c r="Z217" s="57"/>
    </row>
    <row r="218" ht="15.75" customHeight="1">
      <c r="A218" s="57"/>
      <c r="B218" s="57"/>
      <c r="C218" s="57"/>
      <c r="D218" s="57"/>
      <c r="E218" s="57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  <c r="S218" s="57"/>
      <c r="T218" s="57"/>
      <c r="U218" s="57"/>
      <c r="V218" s="57"/>
      <c r="W218" s="57"/>
      <c r="X218" s="57"/>
      <c r="Y218" s="57"/>
      <c r="Z218" s="57"/>
    </row>
    <row r="219" ht="15.75" customHeight="1">
      <c r="A219" s="57"/>
      <c r="B219" s="57"/>
      <c r="C219" s="57"/>
      <c r="D219" s="57"/>
      <c r="E219" s="57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  <c r="S219" s="57"/>
      <c r="T219" s="57"/>
      <c r="U219" s="57"/>
      <c r="V219" s="57"/>
      <c r="W219" s="57"/>
      <c r="X219" s="57"/>
      <c r="Y219" s="57"/>
      <c r="Z219" s="57"/>
    </row>
    <row r="220" ht="15.75" customHeight="1">
      <c r="A220" s="57"/>
      <c r="B220" s="57"/>
      <c r="C220" s="57"/>
      <c r="D220" s="57"/>
      <c r="E220" s="57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  <c r="S220" s="57"/>
      <c r="T220" s="57"/>
      <c r="U220" s="57"/>
      <c r="V220" s="57"/>
      <c r="W220" s="57"/>
      <c r="X220" s="57"/>
      <c r="Y220" s="57"/>
      <c r="Z220" s="57"/>
    </row>
    <row r="221" ht="15.75" customHeight="1">
      <c r="A221" s="57"/>
      <c r="B221" s="57"/>
      <c r="C221" s="57"/>
      <c r="D221" s="57"/>
      <c r="E221" s="57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  <c r="S221" s="57"/>
      <c r="T221" s="57"/>
      <c r="U221" s="57"/>
      <c r="V221" s="57"/>
      <c r="W221" s="57"/>
      <c r="X221" s="57"/>
      <c r="Y221" s="57"/>
      <c r="Z221" s="57"/>
    </row>
    <row r="222" ht="15.75" customHeight="1">
      <c r="A222" s="57"/>
      <c r="B222" s="57"/>
      <c r="C222" s="57"/>
      <c r="D222" s="57"/>
      <c r="E222" s="57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  <c r="S222" s="57"/>
      <c r="T222" s="57"/>
      <c r="U222" s="57"/>
      <c r="V222" s="57"/>
      <c r="W222" s="57"/>
      <c r="X222" s="57"/>
      <c r="Y222" s="57"/>
      <c r="Z222" s="57"/>
    </row>
    <row r="223" ht="15.75" customHeight="1">
      <c r="A223" s="57"/>
      <c r="B223" s="57"/>
      <c r="C223" s="57"/>
      <c r="D223" s="57"/>
      <c r="E223" s="57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  <c r="S223" s="57"/>
      <c r="T223" s="57"/>
      <c r="U223" s="57"/>
      <c r="V223" s="57"/>
      <c r="W223" s="57"/>
      <c r="X223" s="57"/>
      <c r="Y223" s="57"/>
      <c r="Z223" s="57"/>
    </row>
    <row r="224" ht="15.75" customHeight="1">
      <c r="A224" s="57"/>
      <c r="B224" s="57"/>
      <c r="C224" s="57"/>
      <c r="D224" s="57"/>
      <c r="E224" s="57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  <c r="S224" s="57"/>
      <c r="T224" s="57"/>
      <c r="U224" s="57"/>
      <c r="V224" s="57"/>
      <c r="W224" s="57"/>
      <c r="X224" s="57"/>
      <c r="Y224" s="57"/>
      <c r="Z224" s="57"/>
    </row>
    <row r="225" ht="15.75" customHeight="1">
      <c r="A225" s="57"/>
      <c r="B225" s="57"/>
      <c r="C225" s="57"/>
      <c r="D225" s="57"/>
      <c r="E225" s="57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  <c r="S225" s="57"/>
      <c r="T225" s="57"/>
      <c r="U225" s="57"/>
      <c r="V225" s="57"/>
      <c r="W225" s="57"/>
      <c r="X225" s="57"/>
      <c r="Y225" s="57"/>
      <c r="Z225" s="57"/>
    </row>
    <row r="226" ht="15.75" customHeight="1">
      <c r="A226" s="57"/>
      <c r="B226" s="57"/>
      <c r="C226" s="57"/>
      <c r="D226" s="57"/>
      <c r="E226" s="57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  <c r="S226" s="57"/>
      <c r="T226" s="57"/>
      <c r="U226" s="57"/>
      <c r="V226" s="57"/>
      <c r="W226" s="57"/>
      <c r="X226" s="57"/>
      <c r="Y226" s="57"/>
      <c r="Z226" s="57"/>
    </row>
    <row r="227" ht="15.75" customHeight="1">
      <c r="A227" s="57"/>
      <c r="B227" s="57"/>
      <c r="C227" s="57"/>
      <c r="D227" s="57"/>
      <c r="E227" s="57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  <c r="S227" s="57"/>
      <c r="T227" s="57"/>
      <c r="U227" s="57"/>
      <c r="V227" s="57"/>
      <c r="W227" s="57"/>
      <c r="X227" s="57"/>
      <c r="Y227" s="57"/>
      <c r="Z227" s="57"/>
    </row>
    <row r="228" ht="15.75" customHeight="1">
      <c r="A228" s="57"/>
      <c r="B228" s="57"/>
      <c r="C228" s="57"/>
      <c r="D228" s="57"/>
      <c r="E228" s="57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  <c r="S228" s="57"/>
      <c r="T228" s="57"/>
      <c r="U228" s="57"/>
      <c r="V228" s="57"/>
      <c r="W228" s="57"/>
      <c r="X228" s="57"/>
      <c r="Y228" s="57"/>
      <c r="Z228" s="57"/>
    </row>
    <row r="229" ht="15.75" customHeight="1">
      <c r="A229" s="57"/>
      <c r="B229" s="57"/>
      <c r="C229" s="57"/>
      <c r="D229" s="57"/>
      <c r="E229" s="57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  <c r="S229" s="57"/>
      <c r="T229" s="57"/>
      <c r="U229" s="57"/>
      <c r="V229" s="57"/>
      <c r="W229" s="57"/>
      <c r="X229" s="57"/>
      <c r="Y229" s="57"/>
      <c r="Z229" s="57"/>
    </row>
    <row r="230" ht="15.75" customHeight="1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  <c r="S230" s="57"/>
      <c r="T230" s="57"/>
      <c r="U230" s="57"/>
      <c r="V230" s="57"/>
      <c r="W230" s="57"/>
      <c r="X230" s="57"/>
      <c r="Y230" s="57"/>
      <c r="Z230" s="57"/>
    </row>
    <row r="231" ht="15.75" customHeight="1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  <c r="S231" s="57"/>
      <c r="T231" s="57"/>
      <c r="U231" s="57"/>
      <c r="V231" s="57"/>
      <c r="W231" s="57"/>
      <c r="X231" s="57"/>
      <c r="Y231" s="57"/>
      <c r="Z231" s="57"/>
    </row>
    <row r="232" ht="15.75" customHeight="1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  <c r="S232" s="57"/>
      <c r="T232" s="57"/>
      <c r="U232" s="57"/>
      <c r="V232" s="57"/>
      <c r="W232" s="57"/>
      <c r="X232" s="57"/>
      <c r="Y232" s="57"/>
      <c r="Z232" s="57"/>
    </row>
    <row r="233" ht="15.75" customHeight="1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  <c r="S233" s="57"/>
      <c r="T233" s="57"/>
      <c r="U233" s="57"/>
      <c r="V233" s="57"/>
      <c r="W233" s="57"/>
      <c r="X233" s="57"/>
      <c r="Y233" s="57"/>
      <c r="Z233" s="57"/>
    </row>
    <row r="234" ht="15.75" customHeight="1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  <c r="S234" s="57"/>
      <c r="T234" s="57"/>
      <c r="U234" s="57"/>
      <c r="V234" s="57"/>
      <c r="W234" s="57"/>
      <c r="X234" s="57"/>
      <c r="Y234" s="57"/>
      <c r="Z234" s="57"/>
    </row>
    <row r="235" ht="15.75" customHeight="1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  <c r="S235" s="57"/>
      <c r="T235" s="57"/>
      <c r="U235" s="57"/>
      <c r="V235" s="57"/>
      <c r="W235" s="57"/>
      <c r="X235" s="57"/>
      <c r="Y235" s="57"/>
      <c r="Z235" s="57"/>
    </row>
    <row r="236" ht="15.75" customHeight="1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  <c r="S236" s="57"/>
      <c r="T236" s="57"/>
      <c r="U236" s="57"/>
      <c r="V236" s="57"/>
      <c r="W236" s="57"/>
      <c r="X236" s="57"/>
      <c r="Y236" s="57"/>
      <c r="Z236" s="57"/>
    </row>
    <row r="237" ht="15.75" customHeight="1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  <c r="S237" s="57"/>
      <c r="T237" s="57"/>
      <c r="U237" s="57"/>
      <c r="V237" s="57"/>
      <c r="W237" s="57"/>
      <c r="X237" s="57"/>
      <c r="Y237" s="57"/>
      <c r="Z237" s="57"/>
    </row>
    <row r="238" ht="15.75" customHeight="1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  <c r="S238" s="57"/>
      <c r="T238" s="57"/>
      <c r="U238" s="57"/>
      <c r="V238" s="57"/>
      <c r="W238" s="57"/>
      <c r="X238" s="57"/>
      <c r="Y238" s="57"/>
      <c r="Z238" s="57"/>
    </row>
    <row r="239" ht="15.75" customHeight="1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  <c r="S239" s="57"/>
      <c r="T239" s="57"/>
      <c r="U239" s="57"/>
      <c r="V239" s="57"/>
      <c r="W239" s="57"/>
      <c r="X239" s="57"/>
      <c r="Y239" s="57"/>
      <c r="Z239" s="57"/>
    </row>
    <row r="240" ht="15.75" customHeight="1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  <c r="S240" s="57"/>
      <c r="T240" s="57"/>
      <c r="U240" s="57"/>
      <c r="V240" s="57"/>
      <c r="W240" s="57"/>
      <c r="X240" s="57"/>
      <c r="Y240" s="57"/>
      <c r="Z240" s="57"/>
    </row>
    <row r="241" ht="15.75" customHeight="1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  <c r="S241" s="57"/>
      <c r="T241" s="57"/>
      <c r="U241" s="57"/>
      <c r="V241" s="57"/>
      <c r="W241" s="57"/>
      <c r="X241" s="57"/>
      <c r="Y241" s="57"/>
      <c r="Z241" s="57"/>
    </row>
    <row r="242" ht="15.75" customHeight="1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  <c r="S242" s="57"/>
      <c r="T242" s="57"/>
      <c r="U242" s="57"/>
      <c r="V242" s="57"/>
      <c r="W242" s="57"/>
      <c r="X242" s="57"/>
      <c r="Y242" s="57"/>
      <c r="Z242" s="57"/>
    </row>
    <row r="243" ht="15.75" customHeight="1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  <c r="S243" s="57"/>
      <c r="T243" s="57"/>
      <c r="U243" s="57"/>
      <c r="V243" s="57"/>
      <c r="W243" s="57"/>
      <c r="X243" s="57"/>
      <c r="Y243" s="57"/>
      <c r="Z243" s="57"/>
    </row>
    <row r="244" ht="15.75" customHeight="1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  <c r="S244" s="57"/>
      <c r="T244" s="57"/>
      <c r="U244" s="57"/>
      <c r="V244" s="57"/>
      <c r="W244" s="57"/>
      <c r="X244" s="57"/>
      <c r="Y244" s="57"/>
      <c r="Z244" s="57"/>
    </row>
    <row r="245" ht="15.75" customHeight="1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  <c r="S245" s="57"/>
      <c r="T245" s="57"/>
      <c r="U245" s="57"/>
      <c r="V245" s="57"/>
      <c r="W245" s="57"/>
      <c r="X245" s="57"/>
      <c r="Y245" s="57"/>
      <c r="Z245" s="57"/>
    </row>
    <row r="246" ht="15.75" customHeight="1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  <c r="S246" s="57"/>
      <c r="T246" s="57"/>
      <c r="U246" s="57"/>
      <c r="V246" s="57"/>
      <c r="W246" s="57"/>
      <c r="X246" s="57"/>
      <c r="Y246" s="57"/>
      <c r="Z246" s="57"/>
    </row>
    <row r="247" ht="15.75" customHeight="1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  <c r="S247" s="57"/>
      <c r="T247" s="57"/>
      <c r="U247" s="57"/>
      <c r="V247" s="57"/>
      <c r="W247" s="57"/>
      <c r="X247" s="57"/>
      <c r="Y247" s="57"/>
      <c r="Z247" s="57"/>
    </row>
    <row r="248" ht="15.75" customHeight="1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  <c r="S248" s="57"/>
      <c r="T248" s="57"/>
      <c r="U248" s="57"/>
      <c r="V248" s="57"/>
      <c r="W248" s="57"/>
      <c r="X248" s="57"/>
      <c r="Y248" s="57"/>
      <c r="Z248" s="57"/>
    </row>
    <row r="249" ht="15.75" customHeight="1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  <c r="S249" s="57"/>
      <c r="T249" s="57"/>
      <c r="U249" s="57"/>
      <c r="V249" s="57"/>
      <c r="W249" s="57"/>
      <c r="X249" s="57"/>
      <c r="Y249" s="57"/>
      <c r="Z249" s="57"/>
    </row>
    <row r="250" ht="15.75" customHeight="1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  <c r="S250" s="57"/>
      <c r="T250" s="57"/>
      <c r="U250" s="57"/>
      <c r="V250" s="57"/>
      <c r="W250" s="57"/>
      <c r="X250" s="57"/>
      <c r="Y250" s="57"/>
      <c r="Z250" s="57"/>
    </row>
    <row r="251" ht="15.75" customHeight="1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57"/>
    </row>
    <row r="252" ht="15.75" customHeight="1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  <c r="S252" s="57"/>
      <c r="T252" s="57"/>
      <c r="U252" s="57"/>
      <c r="V252" s="57"/>
      <c r="W252" s="57"/>
      <c r="X252" s="57"/>
      <c r="Y252" s="57"/>
      <c r="Z252" s="57"/>
    </row>
    <row r="253" ht="15.75" customHeight="1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  <c r="S253" s="57"/>
      <c r="T253" s="57"/>
      <c r="U253" s="57"/>
      <c r="V253" s="57"/>
      <c r="W253" s="57"/>
      <c r="X253" s="57"/>
      <c r="Y253" s="57"/>
      <c r="Z253" s="57"/>
    </row>
    <row r="254" ht="15.75" customHeight="1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  <c r="S254" s="57"/>
      <c r="T254" s="57"/>
      <c r="U254" s="57"/>
      <c r="V254" s="57"/>
      <c r="W254" s="57"/>
      <c r="X254" s="57"/>
      <c r="Y254" s="57"/>
      <c r="Z254" s="57"/>
    </row>
    <row r="255" ht="15.75" customHeight="1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  <c r="S255" s="57"/>
      <c r="T255" s="57"/>
      <c r="U255" s="57"/>
      <c r="V255" s="57"/>
      <c r="W255" s="57"/>
      <c r="X255" s="57"/>
      <c r="Y255" s="57"/>
      <c r="Z255" s="57"/>
    </row>
    <row r="256" ht="15.75" customHeight="1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  <c r="S256" s="57"/>
      <c r="T256" s="57"/>
      <c r="U256" s="57"/>
      <c r="V256" s="57"/>
      <c r="W256" s="57"/>
      <c r="X256" s="57"/>
      <c r="Y256" s="57"/>
      <c r="Z256" s="57"/>
    </row>
    <row r="257" ht="15.75" customHeight="1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  <c r="S257" s="57"/>
      <c r="T257" s="57"/>
      <c r="U257" s="57"/>
      <c r="V257" s="57"/>
      <c r="W257" s="57"/>
      <c r="X257" s="57"/>
      <c r="Y257" s="57"/>
      <c r="Z257" s="57"/>
    </row>
    <row r="258" ht="15.75" customHeight="1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  <c r="S258" s="57"/>
      <c r="T258" s="57"/>
      <c r="U258" s="57"/>
      <c r="V258" s="57"/>
      <c r="W258" s="57"/>
      <c r="X258" s="57"/>
      <c r="Y258" s="57"/>
      <c r="Z258" s="57"/>
    </row>
    <row r="259" ht="15.75" customHeight="1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  <c r="S259" s="57"/>
      <c r="T259" s="57"/>
      <c r="U259" s="57"/>
      <c r="V259" s="57"/>
      <c r="W259" s="57"/>
      <c r="X259" s="57"/>
      <c r="Y259" s="57"/>
      <c r="Z259" s="57"/>
    </row>
    <row r="260" ht="15.75" customHeight="1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  <c r="S260" s="57"/>
      <c r="T260" s="57"/>
      <c r="U260" s="57"/>
      <c r="V260" s="57"/>
      <c r="W260" s="57"/>
      <c r="X260" s="57"/>
      <c r="Y260" s="57"/>
      <c r="Z260" s="57"/>
    </row>
    <row r="261" ht="15.75" customHeight="1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  <c r="S261" s="57"/>
      <c r="T261" s="57"/>
      <c r="U261" s="57"/>
      <c r="V261" s="57"/>
      <c r="W261" s="57"/>
      <c r="X261" s="57"/>
      <c r="Y261" s="57"/>
      <c r="Z261" s="57"/>
    </row>
    <row r="262" ht="15.75" customHeight="1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  <c r="S262" s="57"/>
      <c r="T262" s="57"/>
      <c r="U262" s="57"/>
      <c r="V262" s="57"/>
      <c r="W262" s="57"/>
      <c r="X262" s="57"/>
      <c r="Y262" s="57"/>
      <c r="Z262" s="57"/>
    </row>
    <row r="263" ht="15.75" customHeight="1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  <c r="S263" s="57"/>
      <c r="T263" s="57"/>
      <c r="U263" s="57"/>
      <c r="V263" s="57"/>
      <c r="W263" s="57"/>
      <c r="X263" s="57"/>
      <c r="Y263" s="57"/>
      <c r="Z263" s="57"/>
    </row>
    <row r="264" ht="15.75" customHeight="1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  <c r="S264" s="57"/>
      <c r="T264" s="57"/>
      <c r="U264" s="57"/>
      <c r="V264" s="57"/>
      <c r="W264" s="57"/>
      <c r="X264" s="57"/>
      <c r="Y264" s="57"/>
      <c r="Z264" s="57"/>
    </row>
    <row r="265" ht="15.75" customHeight="1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  <c r="S265" s="57"/>
      <c r="T265" s="57"/>
      <c r="U265" s="57"/>
      <c r="V265" s="57"/>
      <c r="W265" s="57"/>
      <c r="X265" s="57"/>
      <c r="Y265" s="57"/>
      <c r="Z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  <c r="S266" s="57"/>
      <c r="T266" s="57"/>
      <c r="U266" s="57"/>
      <c r="V266" s="57"/>
      <c r="W266" s="57"/>
      <c r="X266" s="57"/>
      <c r="Y266" s="57"/>
      <c r="Z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  <c r="S267" s="57"/>
      <c r="T267" s="57"/>
      <c r="U267" s="57"/>
      <c r="V267" s="57"/>
      <c r="W267" s="57"/>
      <c r="X267" s="57"/>
      <c r="Y267" s="57"/>
      <c r="Z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  <c r="S268" s="57"/>
      <c r="T268" s="57"/>
      <c r="U268" s="57"/>
      <c r="V268" s="57"/>
      <c r="W268" s="57"/>
      <c r="X268" s="57"/>
      <c r="Y268" s="57"/>
      <c r="Z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  <c r="S269" s="57"/>
      <c r="T269" s="57"/>
      <c r="U269" s="57"/>
      <c r="V269" s="57"/>
      <c r="W269" s="57"/>
      <c r="X269" s="57"/>
      <c r="Y269" s="57"/>
      <c r="Z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  <c r="S270" s="57"/>
      <c r="T270" s="57"/>
      <c r="U270" s="57"/>
      <c r="V270" s="57"/>
      <c r="W270" s="57"/>
      <c r="X270" s="57"/>
      <c r="Y270" s="57"/>
      <c r="Z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  <c r="S271" s="57"/>
      <c r="T271" s="57"/>
      <c r="U271" s="57"/>
      <c r="V271" s="57"/>
      <c r="W271" s="57"/>
      <c r="X271" s="57"/>
      <c r="Y271" s="57"/>
      <c r="Z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  <c r="S272" s="57"/>
      <c r="T272" s="57"/>
      <c r="U272" s="57"/>
      <c r="V272" s="57"/>
      <c r="W272" s="57"/>
      <c r="X272" s="57"/>
      <c r="Y272" s="57"/>
      <c r="Z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  <c r="R273" s="57"/>
      <c r="S273" s="57"/>
      <c r="T273" s="57"/>
      <c r="U273" s="57"/>
      <c r="V273" s="57"/>
      <c r="W273" s="57"/>
      <c r="X273" s="57"/>
      <c r="Y273" s="57"/>
      <c r="Z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  <c r="R274" s="57"/>
      <c r="S274" s="57"/>
      <c r="T274" s="57"/>
      <c r="U274" s="57"/>
      <c r="V274" s="57"/>
      <c r="W274" s="57"/>
      <c r="X274" s="57"/>
      <c r="Y274" s="57"/>
      <c r="Z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  <c r="R275" s="57"/>
      <c r="S275" s="57"/>
      <c r="T275" s="57"/>
      <c r="U275" s="57"/>
      <c r="V275" s="57"/>
      <c r="W275" s="57"/>
      <c r="X275" s="57"/>
      <c r="Y275" s="57"/>
      <c r="Z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  <c r="R276" s="57"/>
      <c r="S276" s="57"/>
      <c r="T276" s="57"/>
      <c r="U276" s="57"/>
      <c r="V276" s="57"/>
      <c r="W276" s="57"/>
      <c r="X276" s="57"/>
      <c r="Y276" s="57"/>
      <c r="Z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  <c r="R277" s="57"/>
      <c r="S277" s="57"/>
      <c r="T277" s="57"/>
      <c r="U277" s="57"/>
      <c r="V277" s="57"/>
      <c r="W277" s="57"/>
      <c r="X277" s="57"/>
      <c r="Y277" s="57"/>
      <c r="Z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  <c r="R278" s="57"/>
      <c r="S278" s="57"/>
      <c r="T278" s="57"/>
      <c r="U278" s="57"/>
      <c r="V278" s="57"/>
      <c r="W278" s="57"/>
      <c r="X278" s="57"/>
      <c r="Y278" s="57"/>
      <c r="Z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  <c r="R279" s="57"/>
      <c r="S279" s="57"/>
      <c r="T279" s="57"/>
      <c r="U279" s="57"/>
      <c r="V279" s="57"/>
      <c r="W279" s="57"/>
      <c r="X279" s="57"/>
      <c r="Y279" s="57"/>
      <c r="Z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  <c r="R280" s="57"/>
      <c r="S280" s="57"/>
      <c r="T280" s="57"/>
      <c r="U280" s="57"/>
      <c r="V280" s="57"/>
      <c r="W280" s="57"/>
      <c r="X280" s="57"/>
      <c r="Y280" s="57"/>
      <c r="Z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  <c r="R281" s="57"/>
      <c r="S281" s="57"/>
      <c r="T281" s="57"/>
      <c r="U281" s="57"/>
      <c r="V281" s="57"/>
      <c r="W281" s="57"/>
      <c r="X281" s="57"/>
      <c r="Y281" s="57"/>
      <c r="Z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  <c r="R282" s="57"/>
      <c r="S282" s="57"/>
      <c r="T282" s="57"/>
      <c r="U282" s="57"/>
      <c r="V282" s="57"/>
      <c r="W282" s="57"/>
      <c r="X282" s="57"/>
      <c r="Y282" s="57"/>
      <c r="Z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  <c r="R283" s="57"/>
      <c r="S283" s="57"/>
      <c r="T283" s="57"/>
      <c r="U283" s="57"/>
      <c r="V283" s="57"/>
      <c r="W283" s="57"/>
      <c r="X283" s="57"/>
      <c r="Y283" s="57"/>
      <c r="Z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  <c r="R284" s="57"/>
      <c r="S284" s="57"/>
      <c r="T284" s="57"/>
      <c r="U284" s="57"/>
      <c r="V284" s="57"/>
      <c r="W284" s="57"/>
      <c r="X284" s="57"/>
      <c r="Y284" s="57"/>
      <c r="Z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  <c r="R285" s="57"/>
      <c r="S285" s="57"/>
      <c r="T285" s="57"/>
      <c r="U285" s="57"/>
      <c r="V285" s="57"/>
      <c r="W285" s="57"/>
      <c r="X285" s="57"/>
      <c r="Y285" s="57"/>
      <c r="Z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  <c r="R286" s="57"/>
      <c r="S286" s="57"/>
      <c r="T286" s="57"/>
      <c r="U286" s="57"/>
      <c r="V286" s="57"/>
      <c r="W286" s="57"/>
      <c r="X286" s="57"/>
      <c r="Y286" s="57"/>
      <c r="Z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  <c r="R287" s="57"/>
      <c r="S287" s="57"/>
      <c r="T287" s="57"/>
      <c r="U287" s="57"/>
      <c r="V287" s="57"/>
      <c r="W287" s="57"/>
      <c r="X287" s="57"/>
      <c r="Y287" s="57"/>
      <c r="Z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  <c r="R288" s="57"/>
      <c r="S288" s="57"/>
      <c r="T288" s="57"/>
      <c r="U288" s="57"/>
      <c r="V288" s="57"/>
      <c r="W288" s="57"/>
      <c r="X288" s="57"/>
      <c r="Y288" s="57"/>
      <c r="Z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  <c r="R290" s="57"/>
      <c r="S290" s="57"/>
      <c r="T290" s="57"/>
      <c r="U290" s="57"/>
      <c r="V290" s="57"/>
      <c r="W290" s="57"/>
      <c r="X290" s="57"/>
      <c r="Y290" s="57"/>
      <c r="Z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  <c r="R291" s="57"/>
      <c r="S291" s="57"/>
      <c r="T291" s="57"/>
      <c r="U291" s="57"/>
      <c r="V291" s="57"/>
      <c r="W291" s="57"/>
      <c r="X291" s="57"/>
      <c r="Y291" s="57"/>
      <c r="Z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  <c r="R292" s="57"/>
      <c r="S292" s="57"/>
      <c r="T292" s="57"/>
      <c r="U292" s="57"/>
      <c r="V292" s="57"/>
      <c r="W292" s="57"/>
      <c r="X292" s="57"/>
      <c r="Y292" s="57"/>
      <c r="Z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  <c r="R293" s="57"/>
      <c r="S293" s="57"/>
      <c r="T293" s="57"/>
      <c r="U293" s="57"/>
      <c r="V293" s="57"/>
      <c r="W293" s="57"/>
      <c r="X293" s="57"/>
      <c r="Y293" s="57"/>
      <c r="Z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  <c r="R294" s="57"/>
      <c r="S294" s="57"/>
      <c r="T294" s="57"/>
      <c r="U294" s="57"/>
      <c r="V294" s="57"/>
      <c r="W294" s="57"/>
      <c r="X294" s="57"/>
      <c r="Y294" s="57"/>
      <c r="Z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  <c r="R295" s="57"/>
      <c r="S295" s="57"/>
      <c r="T295" s="57"/>
      <c r="U295" s="57"/>
      <c r="V295" s="57"/>
      <c r="W295" s="57"/>
      <c r="X295" s="57"/>
      <c r="Y295" s="57"/>
      <c r="Z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  <c r="R296" s="57"/>
      <c r="S296" s="57"/>
      <c r="T296" s="57"/>
      <c r="U296" s="57"/>
      <c r="V296" s="57"/>
      <c r="W296" s="57"/>
      <c r="X296" s="57"/>
      <c r="Y296" s="57"/>
      <c r="Z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  <c r="R297" s="57"/>
      <c r="S297" s="57"/>
      <c r="T297" s="57"/>
      <c r="U297" s="57"/>
      <c r="V297" s="57"/>
      <c r="W297" s="57"/>
      <c r="X297" s="57"/>
      <c r="Y297" s="57"/>
      <c r="Z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  <c r="R298" s="57"/>
      <c r="S298" s="57"/>
      <c r="T298" s="57"/>
      <c r="U298" s="57"/>
      <c r="V298" s="57"/>
      <c r="W298" s="57"/>
      <c r="X298" s="57"/>
      <c r="Y298" s="57"/>
      <c r="Z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  <c r="R299" s="57"/>
      <c r="S299" s="57"/>
      <c r="T299" s="57"/>
      <c r="U299" s="57"/>
      <c r="V299" s="57"/>
      <c r="W299" s="57"/>
      <c r="X299" s="57"/>
      <c r="Y299" s="57"/>
      <c r="Z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  <c r="R300" s="57"/>
      <c r="S300" s="57"/>
      <c r="T300" s="57"/>
      <c r="U300" s="57"/>
      <c r="V300" s="57"/>
      <c r="W300" s="57"/>
      <c r="X300" s="57"/>
      <c r="Y300" s="57"/>
      <c r="Z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  <c r="R301" s="57"/>
      <c r="S301" s="57"/>
      <c r="T301" s="57"/>
      <c r="U301" s="57"/>
      <c r="V301" s="57"/>
      <c r="W301" s="57"/>
      <c r="X301" s="57"/>
      <c r="Y301" s="57"/>
      <c r="Z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  <c r="R302" s="57"/>
      <c r="S302" s="57"/>
      <c r="T302" s="57"/>
      <c r="U302" s="57"/>
      <c r="V302" s="57"/>
      <c r="W302" s="57"/>
      <c r="X302" s="57"/>
      <c r="Y302" s="57"/>
      <c r="Z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  <c r="R303" s="57"/>
      <c r="S303" s="57"/>
      <c r="T303" s="57"/>
      <c r="U303" s="57"/>
      <c r="V303" s="57"/>
      <c r="W303" s="57"/>
      <c r="X303" s="57"/>
      <c r="Y303" s="57"/>
      <c r="Z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  <c r="R304" s="57"/>
      <c r="S304" s="57"/>
      <c r="T304" s="57"/>
      <c r="U304" s="57"/>
      <c r="V304" s="57"/>
      <c r="W304" s="57"/>
      <c r="X304" s="57"/>
      <c r="Y304" s="57"/>
      <c r="Z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  <c r="R305" s="57"/>
      <c r="S305" s="57"/>
      <c r="T305" s="57"/>
      <c r="U305" s="57"/>
      <c r="V305" s="57"/>
      <c r="W305" s="57"/>
      <c r="X305" s="57"/>
      <c r="Y305" s="57"/>
      <c r="Z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  <c r="R306" s="57"/>
      <c r="S306" s="57"/>
      <c r="T306" s="57"/>
      <c r="U306" s="57"/>
      <c r="V306" s="57"/>
      <c r="W306" s="57"/>
      <c r="X306" s="57"/>
      <c r="Y306" s="57"/>
      <c r="Z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  <c r="R307" s="57"/>
      <c r="S307" s="57"/>
      <c r="T307" s="57"/>
      <c r="U307" s="57"/>
      <c r="V307" s="57"/>
      <c r="W307" s="57"/>
      <c r="X307" s="57"/>
      <c r="Y307" s="57"/>
      <c r="Z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  <c r="R308" s="57"/>
      <c r="S308" s="57"/>
      <c r="T308" s="57"/>
      <c r="U308" s="57"/>
      <c r="V308" s="57"/>
      <c r="W308" s="57"/>
      <c r="X308" s="57"/>
      <c r="Y308" s="57"/>
      <c r="Z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  <c r="R309" s="57"/>
      <c r="S309" s="57"/>
      <c r="T309" s="57"/>
      <c r="U309" s="57"/>
      <c r="V309" s="57"/>
      <c r="W309" s="57"/>
      <c r="X309" s="57"/>
      <c r="Y309" s="57"/>
      <c r="Z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  <c r="R310" s="57"/>
      <c r="S310" s="57"/>
      <c r="T310" s="57"/>
      <c r="U310" s="57"/>
      <c r="V310" s="57"/>
      <c r="W310" s="57"/>
      <c r="X310" s="57"/>
      <c r="Y310" s="57"/>
      <c r="Z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  <c r="R311" s="57"/>
      <c r="S311" s="57"/>
      <c r="T311" s="57"/>
      <c r="U311" s="57"/>
      <c r="V311" s="57"/>
      <c r="W311" s="57"/>
      <c r="X311" s="57"/>
      <c r="Y311" s="57"/>
      <c r="Z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  <c r="R312" s="57"/>
      <c r="S312" s="57"/>
      <c r="T312" s="57"/>
      <c r="U312" s="57"/>
      <c r="V312" s="57"/>
      <c r="W312" s="57"/>
      <c r="X312" s="57"/>
      <c r="Y312" s="57"/>
      <c r="Z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  <c r="R313" s="57"/>
      <c r="S313" s="57"/>
      <c r="T313" s="57"/>
      <c r="U313" s="57"/>
      <c r="V313" s="57"/>
      <c r="W313" s="57"/>
      <c r="X313" s="57"/>
      <c r="Y313" s="57"/>
      <c r="Z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  <c r="R314" s="57"/>
      <c r="S314" s="57"/>
      <c r="T314" s="57"/>
      <c r="U314" s="57"/>
      <c r="V314" s="57"/>
      <c r="W314" s="57"/>
      <c r="X314" s="57"/>
      <c r="Y314" s="57"/>
      <c r="Z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  <c r="R315" s="57"/>
      <c r="S315" s="57"/>
      <c r="T315" s="57"/>
      <c r="U315" s="57"/>
      <c r="V315" s="57"/>
      <c r="W315" s="57"/>
      <c r="X315" s="57"/>
      <c r="Y315" s="57"/>
      <c r="Z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  <c r="R316" s="57"/>
      <c r="S316" s="57"/>
      <c r="T316" s="57"/>
      <c r="U316" s="57"/>
      <c r="V316" s="57"/>
      <c r="W316" s="57"/>
      <c r="X316" s="57"/>
      <c r="Y316" s="57"/>
      <c r="Z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  <c r="R317" s="57"/>
      <c r="S317" s="57"/>
      <c r="T317" s="57"/>
      <c r="U317" s="57"/>
      <c r="V317" s="57"/>
      <c r="W317" s="57"/>
      <c r="X317" s="57"/>
      <c r="Y317" s="57"/>
      <c r="Z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  <c r="R318" s="57"/>
      <c r="S318" s="57"/>
      <c r="T318" s="57"/>
      <c r="U318" s="57"/>
      <c r="V318" s="57"/>
      <c r="W318" s="57"/>
      <c r="X318" s="57"/>
      <c r="Y318" s="57"/>
      <c r="Z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  <c r="R319" s="57"/>
      <c r="S319" s="57"/>
      <c r="T319" s="57"/>
      <c r="U319" s="57"/>
      <c r="V319" s="57"/>
      <c r="W319" s="57"/>
      <c r="X319" s="57"/>
      <c r="Y319" s="57"/>
      <c r="Z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  <c r="R320" s="57"/>
      <c r="S320" s="57"/>
      <c r="T320" s="57"/>
      <c r="U320" s="57"/>
      <c r="V320" s="57"/>
      <c r="W320" s="57"/>
      <c r="X320" s="57"/>
      <c r="Y320" s="57"/>
      <c r="Z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  <c r="R321" s="57"/>
      <c r="S321" s="57"/>
      <c r="T321" s="57"/>
      <c r="U321" s="57"/>
      <c r="V321" s="57"/>
      <c r="W321" s="57"/>
      <c r="X321" s="57"/>
      <c r="Y321" s="57"/>
      <c r="Z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  <c r="R322" s="57"/>
      <c r="S322" s="57"/>
      <c r="T322" s="57"/>
      <c r="U322" s="57"/>
      <c r="V322" s="57"/>
      <c r="W322" s="57"/>
      <c r="X322" s="57"/>
      <c r="Y322" s="57"/>
      <c r="Z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  <c r="R323" s="57"/>
      <c r="S323" s="57"/>
      <c r="T323" s="57"/>
      <c r="U323" s="57"/>
      <c r="V323" s="57"/>
      <c r="W323" s="57"/>
      <c r="X323" s="57"/>
      <c r="Y323" s="57"/>
      <c r="Z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  <c r="R324" s="57"/>
      <c r="S324" s="57"/>
      <c r="T324" s="57"/>
      <c r="U324" s="57"/>
      <c r="V324" s="57"/>
      <c r="W324" s="57"/>
      <c r="X324" s="57"/>
      <c r="Y324" s="57"/>
      <c r="Z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  <c r="R325" s="57"/>
      <c r="S325" s="57"/>
      <c r="T325" s="57"/>
      <c r="U325" s="57"/>
      <c r="V325" s="57"/>
      <c r="W325" s="57"/>
      <c r="X325" s="57"/>
      <c r="Y325" s="57"/>
      <c r="Z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  <c r="R326" s="57"/>
      <c r="S326" s="57"/>
      <c r="T326" s="57"/>
      <c r="U326" s="57"/>
      <c r="V326" s="57"/>
      <c r="W326" s="57"/>
      <c r="X326" s="57"/>
      <c r="Y326" s="57"/>
      <c r="Z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  <c r="R328" s="57"/>
      <c r="S328" s="57"/>
      <c r="T328" s="57"/>
      <c r="U328" s="57"/>
      <c r="V328" s="57"/>
      <c r="W328" s="57"/>
      <c r="X328" s="57"/>
      <c r="Y328" s="57"/>
      <c r="Z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  <c r="R329" s="57"/>
      <c r="S329" s="57"/>
      <c r="T329" s="57"/>
      <c r="U329" s="57"/>
      <c r="V329" s="57"/>
      <c r="W329" s="57"/>
      <c r="X329" s="57"/>
      <c r="Y329" s="57"/>
      <c r="Z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  <c r="R330" s="57"/>
      <c r="S330" s="57"/>
      <c r="T330" s="57"/>
      <c r="U330" s="57"/>
      <c r="V330" s="57"/>
      <c r="W330" s="57"/>
      <c r="X330" s="57"/>
      <c r="Y330" s="57"/>
      <c r="Z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  <c r="R331" s="57"/>
      <c r="S331" s="57"/>
      <c r="T331" s="57"/>
      <c r="U331" s="57"/>
      <c r="V331" s="57"/>
      <c r="W331" s="57"/>
      <c r="X331" s="57"/>
      <c r="Y331" s="57"/>
      <c r="Z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  <c r="R332" s="57"/>
      <c r="S332" s="57"/>
      <c r="T332" s="57"/>
      <c r="U332" s="57"/>
      <c r="V332" s="57"/>
      <c r="W332" s="57"/>
      <c r="X332" s="57"/>
      <c r="Y332" s="57"/>
      <c r="Z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  <c r="R333" s="57"/>
      <c r="S333" s="57"/>
      <c r="T333" s="57"/>
      <c r="U333" s="57"/>
      <c r="V333" s="57"/>
      <c r="W333" s="57"/>
      <c r="X333" s="57"/>
      <c r="Y333" s="57"/>
      <c r="Z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  <c r="R334" s="57"/>
      <c r="S334" s="57"/>
      <c r="T334" s="57"/>
      <c r="U334" s="57"/>
      <c r="V334" s="57"/>
      <c r="W334" s="57"/>
      <c r="X334" s="57"/>
      <c r="Y334" s="57"/>
      <c r="Z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  <c r="R335" s="57"/>
      <c r="S335" s="57"/>
      <c r="T335" s="57"/>
      <c r="U335" s="57"/>
      <c r="V335" s="57"/>
      <c r="W335" s="57"/>
      <c r="X335" s="57"/>
      <c r="Y335" s="57"/>
      <c r="Z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  <c r="R336" s="57"/>
      <c r="S336" s="57"/>
      <c r="T336" s="57"/>
      <c r="U336" s="57"/>
      <c r="V336" s="57"/>
      <c r="W336" s="57"/>
      <c r="X336" s="57"/>
      <c r="Y336" s="57"/>
      <c r="Z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  <c r="R337" s="57"/>
      <c r="S337" s="57"/>
      <c r="T337" s="57"/>
      <c r="U337" s="57"/>
      <c r="V337" s="57"/>
      <c r="W337" s="57"/>
      <c r="X337" s="57"/>
      <c r="Y337" s="57"/>
      <c r="Z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  <c r="R338" s="57"/>
      <c r="S338" s="57"/>
      <c r="T338" s="57"/>
      <c r="U338" s="57"/>
      <c r="V338" s="57"/>
      <c r="W338" s="57"/>
      <c r="X338" s="57"/>
      <c r="Y338" s="57"/>
      <c r="Z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  <c r="R339" s="57"/>
      <c r="S339" s="57"/>
      <c r="T339" s="57"/>
      <c r="U339" s="57"/>
      <c r="V339" s="57"/>
      <c r="W339" s="57"/>
      <c r="X339" s="57"/>
      <c r="Y339" s="57"/>
      <c r="Z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  <c r="R340" s="57"/>
      <c r="S340" s="57"/>
      <c r="T340" s="57"/>
      <c r="U340" s="57"/>
      <c r="V340" s="57"/>
      <c r="W340" s="57"/>
      <c r="X340" s="57"/>
      <c r="Y340" s="57"/>
      <c r="Z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  <c r="R341" s="57"/>
      <c r="S341" s="57"/>
      <c r="T341" s="57"/>
      <c r="U341" s="57"/>
      <c r="V341" s="57"/>
      <c r="W341" s="57"/>
      <c r="X341" s="57"/>
      <c r="Y341" s="57"/>
      <c r="Z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  <c r="R342" s="57"/>
      <c r="S342" s="57"/>
      <c r="T342" s="57"/>
      <c r="U342" s="57"/>
      <c r="V342" s="57"/>
      <c r="W342" s="57"/>
      <c r="X342" s="57"/>
      <c r="Y342" s="57"/>
      <c r="Z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  <c r="R343" s="57"/>
      <c r="S343" s="57"/>
      <c r="T343" s="57"/>
      <c r="U343" s="57"/>
      <c r="V343" s="57"/>
      <c r="W343" s="57"/>
      <c r="X343" s="57"/>
      <c r="Y343" s="57"/>
      <c r="Z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  <c r="R344" s="57"/>
      <c r="S344" s="57"/>
      <c r="T344" s="57"/>
      <c r="U344" s="57"/>
      <c r="V344" s="57"/>
      <c r="W344" s="57"/>
      <c r="X344" s="57"/>
      <c r="Y344" s="57"/>
      <c r="Z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  <c r="R345" s="57"/>
      <c r="S345" s="57"/>
      <c r="T345" s="57"/>
      <c r="U345" s="57"/>
      <c r="V345" s="57"/>
      <c r="W345" s="57"/>
      <c r="X345" s="57"/>
      <c r="Y345" s="57"/>
      <c r="Z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  <c r="R346" s="57"/>
      <c r="S346" s="57"/>
      <c r="T346" s="57"/>
      <c r="U346" s="57"/>
      <c r="V346" s="57"/>
      <c r="W346" s="57"/>
      <c r="X346" s="57"/>
      <c r="Y346" s="57"/>
      <c r="Z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  <c r="R347" s="57"/>
      <c r="S347" s="57"/>
      <c r="T347" s="57"/>
      <c r="U347" s="57"/>
      <c r="V347" s="57"/>
      <c r="W347" s="57"/>
      <c r="X347" s="57"/>
      <c r="Y347" s="57"/>
      <c r="Z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  <c r="R348" s="57"/>
      <c r="S348" s="57"/>
      <c r="T348" s="57"/>
      <c r="U348" s="57"/>
      <c r="V348" s="57"/>
      <c r="W348" s="57"/>
      <c r="X348" s="57"/>
      <c r="Y348" s="57"/>
      <c r="Z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  <c r="R349" s="57"/>
      <c r="S349" s="57"/>
      <c r="T349" s="57"/>
      <c r="U349" s="57"/>
      <c r="V349" s="57"/>
      <c r="W349" s="57"/>
      <c r="X349" s="57"/>
      <c r="Y349" s="57"/>
      <c r="Z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  <c r="R350" s="57"/>
      <c r="S350" s="57"/>
      <c r="T350" s="57"/>
      <c r="U350" s="57"/>
      <c r="V350" s="57"/>
      <c r="W350" s="57"/>
      <c r="X350" s="57"/>
      <c r="Y350" s="57"/>
      <c r="Z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  <c r="R351" s="57"/>
      <c r="S351" s="57"/>
      <c r="T351" s="57"/>
      <c r="U351" s="57"/>
      <c r="V351" s="57"/>
      <c r="W351" s="57"/>
      <c r="X351" s="57"/>
      <c r="Y351" s="57"/>
      <c r="Z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  <c r="R352" s="57"/>
      <c r="S352" s="57"/>
      <c r="T352" s="57"/>
      <c r="U352" s="57"/>
      <c r="V352" s="57"/>
      <c r="W352" s="57"/>
      <c r="X352" s="57"/>
      <c r="Y352" s="57"/>
      <c r="Z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  <c r="R353" s="57"/>
      <c r="S353" s="57"/>
      <c r="T353" s="57"/>
      <c r="U353" s="57"/>
      <c r="V353" s="57"/>
      <c r="W353" s="57"/>
      <c r="X353" s="57"/>
      <c r="Y353" s="57"/>
      <c r="Z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  <c r="R354" s="57"/>
      <c r="S354" s="57"/>
      <c r="T354" s="57"/>
      <c r="U354" s="57"/>
      <c r="V354" s="57"/>
      <c r="W354" s="57"/>
      <c r="X354" s="57"/>
      <c r="Y354" s="57"/>
      <c r="Z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  <c r="R355" s="57"/>
      <c r="S355" s="57"/>
      <c r="T355" s="57"/>
      <c r="U355" s="57"/>
      <c r="V355" s="57"/>
      <c r="W355" s="57"/>
      <c r="X355" s="57"/>
      <c r="Y355" s="57"/>
      <c r="Z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  <c r="R356" s="57"/>
      <c r="S356" s="57"/>
      <c r="T356" s="57"/>
      <c r="U356" s="57"/>
      <c r="V356" s="57"/>
      <c r="W356" s="57"/>
      <c r="X356" s="57"/>
      <c r="Y356" s="57"/>
      <c r="Z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  <c r="R357" s="57"/>
      <c r="S357" s="57"/>
      <c r="T357" s="57"/>
      <c r="U357" s="57"/>
      <c r="V357" s="57"/>
      <c r="W357" s="57"/>
      <c r="X357" s="57"/>
      <c r="Y357" s="57"/>
      <c r="Z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  <c r="R358" s="57"/>
      <c r="S358" s="57"/>
      <c r="T358" s="57"/>
      <c r="U358" s="57"/>
      <c r="V358" s="57"/>
      <c r="W358" s="57"/>
      <c r="X358" s="57"/>
      <c r="Y358" s="57"/>
      <c r="Z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  <c r="R359" s="57"/>
      <c r="S359" s="57"/>
      <c r="T359" s="57"/>
      <c r="U359" s="57"/>
      <c r="V359" s="57"/>
      <c r="W359" s="57"/>
      <c r="X359" s="57"/>
      <c r="Y359" s="57"/>
      <c r="Z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  <c r="R360" s="57"/>
      <c r="S360" s="57"/>
      <c r="T360" s="57"/>
      <c r="U360" s="57"/>
      <c r="V360" s="57"/>
      <c r="W360" s="57"/>
      <c r="X360" s="57"/>
      <c r="Y360" s="57"/>
      <c r="Z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  <c r="R361" s="57"/>
      <c r="S361" s="57"/>
      <c r="T361" s="57"/>
      <c r="U361" s="57"/>
      <c r="V361" s="57"/>
      <c r="W361" s="57"/>
      <c r="X361" s="57"/>
      <c r="Y361" s="57"/>
      <c r="Z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  <c r="R362" s="57"/>
      <c r="S362" s="57"/>
      <c r="T362" s="57"/>
      <c r="U362" s="57"/>
      <c r="V362" s="57"/>
      <c r="W362" s="57"/>
      <c r="X362" s="57"/>
      <c r="Y362" s="57"/>
      <c r="Z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  <c r="R363" s="57"/>
      <c r="S363" s="57"/>
      <c r="T363" s="57"/>
      <c r="U363" s="57"/>
      <c r="V363" s="57"/>
      <c r="W363" s="57"/>
      <c r="X363" s="57"/>
      <c r="Y363" s="57"/>
      <c r="Z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  <c r="R364" s="57"/>
      <c r="S364" s="57"/>
      <c r="T364" s="57"/>
      <c r="U364" s="57"/>
      <c r="V364" s="57"/>
      <c r="W364" s="57"/>
      <c r="X364" s="57"/>
      <c r="Y364" s="57"/>
      <c r="Z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  <c r="R366" s="57"/>
      <c r="S366" s="57"/>
      <c r="T366" s="57"/>
      <c r="U366" s="57"/>
      <c r="V366" s="57"/>
      <c r="W366" s="57"/>
      <c r="X366" s="57"/>
      <c r="Y366" s="57"/>
      <c r="Z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  <c r="R367" s="57"/>
      <c r="S367" s="57"/>
      <c r="T367" s="57"/>
      <c r="U367" s="57"/>
      <c r="V367" s="57"/>
      <c r="W367" s="57"/>
      <c r="X367" s="57"/>
      <c r="Y367" s="57"/>
      <c r="Z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  <c r="R368" s="57"/>
      <c r="S368" s="57"/>
      <c r="T368" s="57"/>
      <c r="U368" s="57"/>
      <c r="V368" s="57"/>
      <c r="W368" s="57"/>
      <c r="X368" s="57"/>
      <c r="Y368" s="57"/>
      <c r="Z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  <c r="R369" s="57"/>
      <c r="S369" s="57"/>
      <c r="T369" s="57"/>
      <c r="U369" s="57"/>
      <c r="V369" s="57"/>
      <c r="W369" s="57"/>
      <c r="X369" s="57"/>
      <c r="Y369" s="57"/>
      <c r="Z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  <c r="R370" s="57"/>
      <c r="S370" s="57"/>
      <c r="T370" s="57"/>
      <c r="U370" s="57"/>
      <c r="V370" s="57"/>
      <c r="W370" s="57"/>
      <c r="X370" s="57"/>
      <c r="Y370" s="57"/>
      <c r="Z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  <c r="R371" s="57"/>
      <c r="S371" s="57"/>
      <c r="T371" s="57"/>
      <c r="U371" s="57"/>
      <c r="V371" s="57"/>
      <c r="W371" s="57"/>
      <c r="X371" s="57"/>
      <c r="Y371" s="57"/>
      <c r="Z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  <c r="R372" s="57"/>
      <c r="S372" s="57"/>
      <c r="T372" s="57"/>
      <c r="U372" s="57"/>
      <c r="V372" s="57"/>
      <c r="W372" s="57"/>
      <c r="X372" s="57"/>
      <c r="Y372" s="57"/>
      <c r="Z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  <c r="R373" s="57"/>
      <c r="S373" s="57"/>
      <c r="T373" s="57"/>
      <c r="U373" s="57"/>
      <c r="V373" s="57"/>
      <c r="W373" s="57"/>
      <c r="X373" s="57"/>
      <c r="Y373" s="57"/>
      <c r="Z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  <c r="R374" s="57"/>
      <c r="S374" s="57"/>
      <c r="T374" s="57"/>
      <c r="U374" s="57"/>
      <c r="V374" s="57"/>
      <c r="W374" s="57"/>
      <c r="X374" s="57"/>
      <c r="Y374" s="57"/>
      <c r="Z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  <c r="R375" s="57"/>
      <c r="S375" s="57"/>
      <c r="T375" s="57"/>
      <c r="U375" s="57"/>
      <c r="V375" s="57"/>
      <c r="W375" s="57"/>
      <c r="X375" s="57"/>
      <c r="Y375" s="57"/>
      <c r="Z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  <c r="R376" s="57"/>
      <c r="S376" s="57"/>
      <c r="T376" s="57"/>
      <c r="U376" s="57"/>
      <c r="V376" s="57"/>
      <c r="W376" s="57"/>
      <c r="X376" s="57"/>
      <c r="Y376" s="57"/>
      <c r="Z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  <c r="R377" s="57"/>
      <c r="S377" s="57"/>
      <c r="T377" s="57"/>
      <c r="U377" s="57"/>
      <c r="V377" s="57"/>
      <c r="W377" s="57"/>
      <c r="X377" s="57"/>
      <c r="Y377" s="57"/>
      <c r="Z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  <c r="R378" s="57"/>
      <c r="S378" s="57"/>
      <c r="T378" s="57"/>
      <c r="U378" s="57"/>
      <c r="V378" s="57"/>
      <c r="W378" s="57"/>
      <c r="X378" s="57"/>
      <c r="Y378" s="57"/>
      <c r="Z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  <c r="R379" s="57"/>
      <c r="S379" s="57"/>
      <c r="T379" s="57"/>
      <c r="U379" s="57"/>
      <c r="V379" s="57"/>
      <c r="W379" s="57"/>
      <c r="X379" s="57"/>
      <c r="Y379" s="57"/>
      <c r="Z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  <c r="R380" s="57"/>
      <c r="S380" s="57"/>
      <c r="T380" s="57"/>
      <c r="U380" s="57"/>
      <c r="V380" s="57"/>
      <c r="W380" s="57"/>
      <c r="X380" s="57"/>
      <c r="Y380" s="57"/>
      <c r="Z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  <c r="R381" s="57"/>
      <c r="S381" s="57"/>
      <c r="T381" s="57"/>
      <c r="U381" s="57"/>
      <c r="V381" s="57"/>
      <c r="W381" s="57"/>
      <c r="X381" s="57"/>
      <c r="Y381" s="57"/>
      <c r="Z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  <c r="R382" s="57"/>
      <c r="S382" s="57"/>
      <c r="T382" s="57"/>
      <c r="U382" s="57"/>
      <c r="V382" s="57"/>
      <c r="W382" s="57"/>
      <c r="X382" s="57"/>
      <c r="Y382" s="57"/>
      <c r="Z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  <c r="R383" s="57"/>
      <c r="S383" s="57"/>
      <c r="T383" s="57"/>
      <c r="U383" s="57"/>
      <c r="V383" s="57"/>
      <c r="W383" s="57"/>
      <c r="X383" s="57"/>
      <c r="Y383" s="57"/>
      <c r="Z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  <c r="R384" s="57"/>
      <c r="S384" s="57"/>
      <c r="T384" s="57"/>
      <c r="U384" s="57"/>
      <c r="V384" s="57"/>
      <c r="W384" s="57"/>
      <c r="X384" s="57"/>
      <c r="Y384" s="57"/>
      <c r="Z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  <c r="R385" s="57"/>
      <c r="S385" s="57"/>
      <c r="T385" s="57"/>
      <c r="U385" s="57"/>
      <c r="V385" s="57"/>
      <c r="W385" s="57"/>
      <c r="X385" s="57"/>
      <c r="Y385" s="57"/>
      <c r="Z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  <c r="R386" s="57"/>
      <c r="S386" s="57"/>
      <c r="T386" s="57"/>
      <c r="U386" s="57"/>
      <c r="V386" s="57"/>
      <c r="W386" s="57"/>
      <c r="X386" s="57"/>
      <c r="Y386" s="57"/>
      <c r="Z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  <c r="R387" s="57"/>
      <c r="S387" s="57"/>
      <c r="T387" s="57"/>
      <c r="U387" s="57"/>
      <c r="V387" s="57"/>
      <c r="W387" s="57"/>
      <c r="X387" s="57"/>
      <c r="Y387" s="57"/>
      <c r="Z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  <c r="R388" s="57"/>
      <c r="S388" s="57"/>
      <c r="T388" s="57"/>
      <c r="U388" s="57"/>
      <c r="V388" s="57"/>
      <c r="W388" s="57"/>
      <c r="X388" s="57"/>
      <c r="Y388" s="57"/>
      <c r="Z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  <c r="R389" s="57"/>
      <c r="S389" s="57"/>
      <c r="T389" s="57"/>
      <c r="U389" s="57"/>
      <c r="V389" s="57"/>
      <c r="W389" s="57"/>
      <c r="X389" s="57"/>
      <c r="Y389" s="57"/>
      <c r="Z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  <c r="R390" s="57"/>
      <c r="S390" s="57"/>
      <c r="T390" s="57"/>
      <c r="U390" s="57"/>
      <c r="V390" s="57"/>
      <c r="W390" s="57"/>
      <c r="X390" s="57"/>
      <c r="Y390" s="57"/>
      <c r="Z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  <c r="R391" s="57"/>
      <c r="S391" s="57"/>
      <c r="T391" s="57"/>
      <c r="U391" s="57"/>
      <c r="V391" s="57"/>
      <c r="W391" s="57"/>
      <c r="X391" s="57"/>
      <c r="Y391" s="57"/>
      <c r="Z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  <c r="R392" s="57"/>
      <c r="S392" s="57"/>
      <c r="T392" s="57"/>
      <c r="U392" s="57"/>
      <c r="V392" s="57"/>
      <c r="W392" s="57"/>
      <c r="X392" s="57"/>
      <c r="Y392" s="57"/>
      <c r="Z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  <c r="R393" s="57"/>
      <c r="S393" s="57"/>
      <c r="T393" s="57"/>
      <c r="U393" s="57"/>
      <c r="V393" s="57"/>
      <c r="W393" s="57"/>
      <c r="X393" s="57"/>
      <c r="Y393" s="57"/>
      <c r="Z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  <c r="R394" s="57"/>
      <c r="S394" s="57"/>
      <c r="T394" s="57"/>
      <c r="U394" s="57"/>
      <c r="V394" s="57"/>
      <c r="W394" s="57"/>
      <c r="X394" s="57"/>
      <c r="Y394" s="57"/>
      <c r="Z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  <c r="R395" s="57"/>
      <c r="S395" s="57"/>
      <c r="T395" s="57"/>
      <c r="U395" s="57"/>
      <c r="V395" s="57"/>
      <c r="W395" s="57"/>
      <c r="X395" s="57"/>
      <c r="Y395" s="57"/>
      <c r="Z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  <c r="R396" s="57"/>
      <c r="S396" s="57"/>
      <c r="T396" s="57"/>
      <c r="U396" s="57"/>
      <c r="V396" s="57"/>
      <c r="W396" s="57"/>
      <c r="X396" s="57"/>
      <c r="Y396" s="57"/>
      <c r="Z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  <c r="R397" s="57"/>
      <c r="S397" s="57"/>
      <c r="T397" s="57"/>
      <c r="U397" s="57"/>
      <c r="V397" s="57"/>
      <c r="W397" s="57"/>
      <c r="X397" s="57"/>
      <c r="Y397" s="57"/>
      <c r="Z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  <c r="R398" s="57"/>
      <c r="S398" s="57"/>
      <c r="T398" s="57"/>
      <c r="U398" s="57"/>
      <c r="V398" s="57"/>
      <c r="W398" s="57"/>
      <c r="X398" s="57"/>
      <c r="Y398" s="57"/>
      <c r="Z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  <c r="R399" s="57"/>
      <c r="S399" s="57"/>
      <c r="T399" s="57"/>
      <c r="U399" s="57"/>
      <c r="V399" s="57"/>
      <c r="W399" s="57"/>
      <c r="X399" s="57"/>
      <c r="Y399" s="57"/>
      <c r="Z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  <c r="R400" s="57"/>
      <c r="S400" s="57"/>
      <c r="T400" s="57"/>
      <c r="U400" s="57"/>
      <c r="V400" s="57"/>
      <c r="W400" s="57"/>
      <c r="X400" s="57"/>
      <c r="Y400" s="57"/>
      <c r="Z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  <c r="R401" s="57"/>
      <c r="S401" s="57"/>
      <c r="T401" s="57"/>
      <c r="U401" s="57"/>
      <c r="V401" s="57"/>
      <c r="W401" s="57"/>
      <c r="X401" s="57"/>
      <c r="Y401" s="57"/>
      <c r="Z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  <c r="R402" s="57"/>
      <c r="S402" s="57"/>
      <c r="T402" s="57"/>
      <c r="U402" s="57"/>
      <c r="V402" s="57"/>
      <c r="W402" s="57"/>
      <c r="X402" s="57"/>
      <c r="Y402" s="57"/>
      <c r="Z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  <c r="R404" s="57"/>
      <c r="S404" s="57"/>
      <c r="T404" s="57"/>
      <c r="U404" s="57"/>
      <c r="V404" s="57"/>
      <c r="W404" s="57"/>
      <c r="X404" s="57"/>
      <c r="Y404" s="57"/>
      <c r="Z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  <c r="R405" s="57"/>
      <c r="S405" s="57"/>
      <c r="T405" s="57"/>
      <c r="U405" s="57"/>
      <c r="V405" s="57"/>
      <c r="W405" s="57"/>
      <c r="X405" s="57"/>
      <c r="Y405" s="57"/>
      <c r="Z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  <c r="R406" s="57"/>
      <c r="S406" s="57"/>
      <c r="T406" s="57"/>
      <c r="U406" s="57"/>
      <c r="V406" s="57"/>
      <c r="W406" s="57"/>
      <c r="X406" s="57"/>
      <c r="Y406" s="57"/>
      <c r="Z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  <c r="R407" s="57"/>
      <c r="S407" s="57"/>
      <c r="T407" s="57"/>
      <c r="U407" s="57"/>
      <c r="V407" s="57"/>
      <c r="W407" s="57"/>
      <c r="X407" s="57"/>
      <c r="Y407" s="57"/>
      <c r="Z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  <c r="R408" s="57"/>
      <c r="S408" s="57"/>
      <c r="T408" s="57"/>
      <c r="U408" s="57"/>
      <c r="V408" s="57"/>
      <c r="W408" s="57"/>
      <c r="X408" s="57"/>
      <c r="Y408" s="57"/>
      <c r="Z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  <c r="R409" s="57"/>
      <c r="S409" s="57"/>
      <c r="T409" s="57"/>
      <c r="U409" s="57"/>
      <c r="V409" s="57"/>
      <c r="W409" s="57"/>
      <c r="X409" s="57"/>
      <c r="Y409" s="57"/>
      <c r="Z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  <c r="R410" s="57"/>
      <c r="S410" s="57"/>
      <c r="T410" s="57"/>
      <c r="U410" s="57"/>
      <c r="V410" s="57"/>
      <c r="W410" s="57"/>
      <c r="X410" s="57"/>
      <c r="Y410" s="57"/>
      <c r="Z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  <c r="R411" s="57"/>
      <c r="S411" s="57"/>
      <c r="T411" s="57"/>
      <c r="U411" s="57"/>
      <c r="V411" s="57"/>
      <c r="W411" s="57"/>
      <c r="X411" s="57"/>
      <c r="Y411" s="57"/>
      <c r="Z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  <c r="R412" s="57"/>
      <c r="S412" s="57"/>
      <c r="T412" s="57"/>
      <c r="U412" s="57"/>
      <c r="V412" s="57"/>
      <c r="W412" s="57"/>
      <c r="X412" s="57"/>
      <c r="Y412" s="57"/>
      <c r="Z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  <c r="R413" s="57"/>
      <c r="S413" s="57"/>
      <c r="T413" s="57"/>
      <c r="U413" s="57"/>
      <c r="V413" s="57"/>
      <c r="W413" s="57"/>
      <c r="X413" s="57"/>
      <c r="Y413" s="57"/>
      <c r="Z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  <c r="R414" s="57"/>
      <c r="S414" s="57"/>
      <c r="T414" s="57"/>
      <c r="U414" s="57"/>
      <c r="V414" s="57"/>
      <c r="W414" s="57"/>
      <c r="X414" s="57"/>
      <c r="Y414" s="57"/>
      <c r="Z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  <c r="R415" s="57"/>
      <c r="S415" s="57"/>
      <c r="T415" s="57"/>
      <c r="U415" s="57"/>
      <c r="V415" s="57"/>
      <c r="W415" s="57"/>
      <c r="X415" s="57"/>
      <c r="Y415" s="57"/>
      <c r="Z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  <c r="R416" s="57"/>
      <c r="S416" s="57"/>
      <c r="T416" s="57"/>
      <c r="U416" s="57"/>
      <c r="V416" s="57"/>
      <c r="W416" s="57"/>
      <c r="X416" s="57"/>
      <c r="Y416" s="57"/>
      <c r="Z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  <c r="R417" s="57"/>
      <c r="S417" s="57"/>
      <c r="T417" s="57"/>
      <c r="U417" s="57"/>
      <c r="V417" s="57"/>
      <c r="W417" s="57"/>
      <c r="X417" s="57"/>
      <c r="Y417" s="57"/>
      <c r="Z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  <c r="R418" s="57"/>
      <c r="S418" s="57"/>
      <c r="T418" s="57"/>
      <c r="U418" s="57"/>
      <c r="V418" s="57"/>
      <c r="W418" s="57"/>
      <c r="X418" s="57"/>
      <c r="Y418" s="57"/>
      <c r="Z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  <c r="R419" s="57"/>
      <c r="S419" s="57"/>
      <c r="T419" s="57"/>
      <c r="U419" s="57"/>
      <c r="V419" s="57"/>
      <c r="W419" s="57"/>
      <c r="X419" s="57"/>
      <c r="Y419" s="57"/>
      <c r="Z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  <c r="R420" s="57"/>
      <c r="S420" s="57"/>
      <c r="T420" s="57"/>
      <c r="U420" s="57"/>
      <c r="V420" s="57"/>
      <c r="W420" s="57"/>
      <c r="X420" s="57"/>
      <c r="Y420" s="57"/>
      <c r="Z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  <c r="R421" s="57"/>
      <c r="S421" s="57"/>
      <c r="T421" s="57"/>
      <c r="U421" s="57"/>
      <c r="V421" s="57"/>
      <c r="W421" s="57"/>
      <c r="X421" s="57"/>
      <c r="Y421" s="57"/>
      <c r="Z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  <c r="R422" s="57"/>
      <c r="S422" s="57"/>
      <c r="T422" s="57"/>
      <c r="U422" s="57"/>
      <c r="V422" s="57"/>
      <c r="W422" s="57"/>
      <c r="X422" s="57"/>
      <c r="Y422" s="57"/>
      <c r="Z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  <c r="R423" s="57"/>
      <c r="S423" s="57"/>
      <c r="T423" s="57"/>
      <c r="U423" s="57"/>
      <c r="V423" s="57"/>
      <c r="W423" s="57"/>
      <c r="X423" s="57"/>
      <c r="Y423" s="57"/>
      <c r="Z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  <c r="R424" s="57"/>
      <c r="S424" s="57"/>
      <c r="T424" s="57"/>
      <c r="U424" s="57"/>
      <c r="V424" s="57"/>
      <c r="W424" s="57"/>
      <c r="X424" s="57"/>
      <c r="Y424" s="57"/>
      <c r="Z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  <c r="R425" s="57"/>
      <c r="S425" s="57"/>
      <c r="T425" s="57"/>
      <c r="U425" s="57"/>
      <c r="V425" s="57"/>
      <c r="W425" s="57"/>
      <c r="X425" s="57"/>
      <c r="Y425" s="57"/>
      <c r="Z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  <c r="R426" s="57"/>
      <c r="S426" s="57"/>
      <c r="T426" s="57"/>
      <c r="U426" s="57"/>
      <c r="V426" s="57"/>
      <c r="W426" s="57"/>
      <c r="X426" s="57"/>
      <c r="Y426" s="57"/>
      <c r="Z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  <c r="R427" s="57"/>
      <c r="S427" s="57"/>
      <c r="T427" s="57"/>
      <c r="U427" s="57"/>
      <c r="V427" s="57"/>
      <c r="W427" s="57"/>
      <c r="X427" s="57"/>
      <c r="Y427" s="57"/>
      <c r="Z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  <c r="R428" s="57"/>
      <c r="S428" s="57"/>
      <c r="T428" s="57"/>
      <c r="U428" s="57"/>
      <c r="V428" s="57"/>
      <c r="W428" s="57"/>
      <c r="X428" s="57"/>
      <c r="Y428" s="57"/>
      <c r="Z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  <c r="R429" s="57"/>
      <c r="S429" s="57"/>
      <c r="T429" s="57"/>
      <c r="U429" s="57"/>
      <c r="V429" s="57"/>
      <c r="W429" s="57"/>
      <c r="X429" s="57"/>
      <c r="Y429" s="57"/>
      <c r="Z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  <c r="R430" s="57"/>
      <c r="S430" s="57"/>
      <c r="T430" s="57"/>
      <c r="U430" s="57"/>
      <c r="V430" s="57"/>
      <c r="W430" s="57"/>
      <c r="X430" s="57"/>
      <c r="Y430" s="57"/>
      <c r="Z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  <c r="R431" s="57"/>
      <c r="S431" s="57"/>
      <c r="T431" s="57"/>
      <c r="U431" s="57"/>
      <c r="V431" s="57"/>
      <c r="W431" s="57"/>
      <c r="X431" s="57"/>
      <c r="Y431" s="57"/>
      <c r="Z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  <c r="R432" s="57"/>
      <c r="S432" s="57"/>
      <c r="T432" s="57"/>
      <c r="U432" s="57"/>
      <c r="V432" s="57"/>
      <c r="W432" s="57"/>
      <c r="X432" s="57"/>
      <c r="Y432" s="57"/>
      <c r="Z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  <c r="R433" s="57"/>
      <c r="S433" s="57"/>
      <c r="T433" s="57"/>
      <c r="U433" s="57"/>
      <c r="V433" s="57"/>
      <c r="W433" s="57"/>
      <c r="X433" s="57"/>
      <c r="Y433" s="57"/>
      <c r="Z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  <c r="R434" s="57"/>
      <c r="S434" s="57"/>
      <c r="T434" s="57"/>
      <c r="U434" s="57"/>
      <c r="V434" s="57"/>
      <c r="W434" s="57"/>
      <c r="X434" s="57"/>
      <c r="Y434" s="57"/>
      <c r="Z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  <c r="R435" s="57"/>
      <c r="S435" s="57"/>
      <c r="T435" s="57"/>
      <c r="U435" s="57"/>
      <c r="V435" s="57"/>
      <c r="W435" s="57"/>
      <c r="X435" s="57"/>
      <c r="Y435" s="57"/>
      <c r="Z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  <c r="R436" s="57"/>
      <c r="S436" s="57"/>
      <c r="T436" s="57"/>
      <c r="U436" s="57"/>
      <c r="V436" s="57"/>
      <c r="W436" s="57"/>
      <c r="X436" s="57"/>
      <c r="Y436" s="57"/>
      <c r="Z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  <c r="R437" s="57"/>
      <c r="S437" s="57"/>
      <c r="T437" s="57"/>
      <c r="U437" s="57"/>
      <c r="V437" s="57"/>
      <c r="W437" s="57"/>
      <c r="X437" s="57"/>
      <c r="Y437" s="57"/>
      <c r="Z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  <c r="R438" s="57"/>
      <c r="S438" s="57"/>
      <c r="T438" s="57"/>
      <c r="U438" s="57"/>
      <c r="V438" s="57"/>
      <c r="W438" s="57"/>
      <c r="X438" s="57"/>
      <c r="Y438" s="57"/>
      <c r="Z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  <c r="R439" s="57"/>
      <c r="S439" s="57"/>
      <c r="T439" s="57"/>
      <c r="U439" s="57"/>
      <c r="V439" s="57"/>
      <c r="W439" s="57"/>
      <c r="X439" s="57"/>
      <c r="Y439" s="57"/>
      <c r="Z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  <c r="R440" s="57"/>
      <c r="S440" s="57"/>
      <c r="T440" s="57"/>
      <c r="U440" s="57"/>
      <c r="V440" s="57"/>
      <c r="W440" s="57"/>
      <c r="X440" s="57"/>
      <c r="Y440" s="57"/>
      <c r="Z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  <c r="R442" s="57"/>
      <c r="S442" s="57"/>
      <c r="T442" s="57"/>
      <c r="U442" s="57"/>
      <c r="V442" s="57"/>
      <c r="W442" s="57"/>
      <c r="X442" s="57"/>
      <c r="Y442" s="57"/>
      <c r="Z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  <c r="R443" s="57"/>
      <c r="S443" s="57"/>
      <c r="T443" s="57"/>
      <c r="U443" s="57"/>
      <c r="V443" s="57"/>
      <c r="W443" s="57"/>
      <c r="X443" s="57"/>
      <c r="Y443" s="57"/>
      <c r="Z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  <c r="R444" s="57"/>
      <c r="S444" s="57"/>
      <c r="T444" s="57"/>
      <c r="U444" s="57"/>
      <c r="V444" s="57"/>
      <c r="W444" s="57"/>
      <c r="X444" s="57"/>
      <c r="Y444" s="57"/>
      <c r="Z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  <c r="R445" s="57"/>
      <c r="S445" s="57"/>
      <c r="T445" s="57"/>
      <c r="U445" s="57"/>
      <c r="V445" s="57"/>
      <c r="W445" s="57"/>
      <c r="X445" s="57"/>
      <c r="Y445" s="57"/>
      <c r="Z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  <c r="R446" s="57"/>
      <c r="S446" s="57"/>
      <c r="T446" s="57"/>
      <c r="U446" s="57"/>
      <c r="V446" s="57"/>
      <c r="W446" s="57"/>
      <c r="X446" s="57"/>
      <c r="Y446" s="57"/>
      <c r="Z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  <c r="R447" s="57"/>
      <c r="S447" s="57"/>
      <c r="T447" s="57"/>
      <c r="U447" s="57"/>
      <c r="V447" s="57"/>
      <c r="W447" s="57"/>
      <c r="X447" s="57"/>
      <c r="Y447" s="57"/>
      <c r="Z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  <c r="R448" s="57"/>
      <c r="S448" s="57"/>
      <c r="T448" s="57"/>
      <c r="U448" s="57"/>
      <c r="V448" s="57"/>
      <c r="W448" s="57"/>
      <c r="X448" s="57"/>
      <c r="Y448" s="57"/>
      <c r="Z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  <c r="R449" s="57"/>
      <c r="S449" s="57"/>
      <c r="T449" s="57"/>
      <c r="U449" s="57"/>
      <c r="V449" s="57"/>
      <c r="W449" s="57"/>
      <c r="X449" s="57"/>
      <c r="Y449" s="57"/>
      <c r="Z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  <c r="R450" s="57"/>
      <c r="S450" s="57"/>
      <c r="T450" s="57"/>
      <c r="U450" s="57"/>
      <c r="V450" s="57"/>
      <c r="W450" s="57"/>
      <c r="X450" s="57"/>
      <c r="Y450" s="57"/>
      <c r="Z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  <c r="R451" s="57"/>
      <c r="S451" s="57"/>
      <c r="T451" s="57"/>
      <c r="U451" s="57"/>
      <c r="V451" s="57"/>
      <c r="W451" s="57"/>
      <c r="X451" s="57"/>
      <c r="Y451" s="57"/>
      <c r="Z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  <c r="R452" s="57"/>
      <c r="S452" s="57"/>
      <c r="T452" s="57"/>
      <c r="U452" s="57"/>
      <c r="V452" s="57"/>
      <c r="W452" s="57"/>
      <c r="X452" s="57"/>
      <c r="Y452" s="57"/>
      <c r="Z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  <c r="R453" s="57"/>
      <c r="S453" s="57"/>
      <c r="T453" s="57"/>
      <c r="U453" s="57"/>
      <c r="V453" s="57"/>
      <c r="W453" s="57"/>
      <c r="X453" s="57"/>
      <c r="Y453" s="57"/>
      <c r="Z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  <c r="R454" s="57"/>
      <c r="S454" s="57"/>
      <c r="T454" s="57"/>
      <c r="U454" s="57"/>
      <c r="V454" s="57"/>
      <c r="W454" s="57"/>
      <c r="X454" s="57"/>
      <c r="Y454" s="57"/>
      <c r="Z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  <c r="R455" s="57"/>
      <c r="S455" s="57"/>
      <c r="T455" s="57"/>
      <c r="U455" s="57"/>
      <c r="V455" s="57"/>
      <c r="W455" s="57"/>
      <c r="X455" s="57"/>
      <c r="Y455" s="57"/>
      <c r="Z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  <c r="R456" s="57"/>
      <c r="S456" s="57"/>
      <c r="T456" s="57"/>
      <c r="U456" s="57"/>
      <c r="V456" s="57"/>
      <c r="W456" s="57"/>
      <c r="X456" s="57"/>
      <c r="Y456" s="57"/>
      <c r="Z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  <c r="R457" s="57"/>
      <c r="S457" s="57"/>
      <c r="T457" s="57"/>
      <c r="U457" s="57"/>
      <c r="V457" s="57"/>
      <c r="W457" s="57"/>
      <c r="X457" s="57"/>
      <c r="Y457" s="57"/>
      <c r="Z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  <c r="R458" s="57"/>
      <c r="S458" s="57"/>
      <c r="T458" s="57"/>
      <c r="U458" s="57"/>
      <c r="V458" s="57"/>
      <c r="W458" s="57"/>
      <c r="X458" s="57"/>
      <c r="Y458" s="57"/>
      <c r="Z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  <c r="R459" s="57"/>
      <c r="S459" s="57"/>
      <c r="T459" s="57"/>
      <c r="U459" s="57"/>
      <c r="V459" s="57"/>
      <c r="W459" s="57"/>
      <c r="X459" s="57"/>
      <c r="Y459" s="57"/>
      <c r="Z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  <c r="R460" s="57"/>
      <c r="S460" s="57"/>
      <c r="T460" s="57"/>
      <c r="U460" s="57"/>
      <c r="V460" s="57"/>
      <c r="W460" s="57"/>
      <c r="X460" s="57"/>
      <c r="Y460" s="57"/>
      <c r="Z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  <c r="R461" s="57"/>
      <c r="S461" s="57"/>
      <c r="T461" s="57"/>
      <c r="U461" s="57"/>
      <c r="V461" s="57"/>
      <c r="W461" s="57"/>
      <c r="X461" s="57"/>
      <c r="Y461" s="57"/>
      <c r="Z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  <c r="R462" s="57"/>
      <c r="S462" s="57"/>
      <c r="T462" s="57"/>
      <c r="U462" s="57"/>
      <c r="V462" s="57"/>
      <c r="W462" s="57"/>
      <c r="X462" s="57"/>
      <c r="Y462" s="57"/>
      <c r="Z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  <c r="R463" s="57"/>
      <c r="S463" s="57"/>
      <c r="T463" s="57"/>
      <c r="U463" s="57"/>
      <c r="V463" s="57"/>
      <c r="W463" s="57"/>
      <c r="X463" s="57"/>
      <c r="Y463" s="57"/>
      <c r="Z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  <c r="R464" s="57"/>
      <c r="S464" s="57"/>
      <c r="T464" s="57"/>
      <c r="U464" s="57"/>
      <c r="V464" s="57"/>
      <c r="W464" s="57"/>
      <c r="X464" s="57"/>
      <c r="Y464" s="57"/>
      <c r="Z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  <c r="R465" s="57"/>
      <c r="S465" s="57"/>
      <c r="T465" s="57"/>
      <c r="U465" s="57"/>
      <c r="V465" s="57"/>
      <c r="W465" s="57"/>
      <c r="X465" s="57"/>
      <c r="Y465" s="57"/>
      <c r="Z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  <c r="R466" s="57"/>
      <c r="S466" s="57"/>
      <c r="T466" s="57"/>
      <c r="U466" s="57"/>
      <c r="V466" s="57"/>
      <c r="W466" s="57"/>
      <c r="X466" s="57"/>
      <c r="Y466" s="57"/>
      <c r="Z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  <c r="R467" s="57"/>
      <c r="S467" s="57"/>
      <c r="T467" s="57"/>
      <c r="U467" s="57"/>
      <c r="V467" s="57"/>
      <c r="W467" s="57"/>
      <c r="X467" s="57"/>
      <c r="Y467" s="57"/>
      <c r="Z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  <c r="R468" s="57"/>
      <c r="S468" s="57"/>
      <c r="T468" s="57"/>
      <c r="U468" s="57"/>
      <c r="V468" s="57"/>
      <c r="W468" s="57"/>
      <c r="X468" s="57"/>
      <c r="Y468" s="57"/>
      <c r="Z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  <c r="R469" s="57"/>
      <c r="S469" s="57"/>
      <c r="T469" s="57"/>
      <c r="U469" s="57"/>
      <c r="V469" s="57"/>
      <c r="W469" s="57"/>
      <c r="X469" s="57"/>
      <c r="Y469" s="57"/>
      <c r="Z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  <c r="R470" s="57"/>
      <c r="S470" s="57"/>
      <c r="T470" s="57"/>
      <c r="U470" s="57"/>
      <c r="V470" s="57"/>
      <c r="W470" s="57"/>
      <c r="X470" s="57"/>
      <c r="Y470" s="57"/>
      <c r="Z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  <c r="R471" s="57"/>
      <c r="S471" s="57"/>
      <c r="T471" s="57"/>
      <c r="U471" s="57"/>
      <c r="V471" s="57"/>
      <c r="W471" s="57"/>
      <c r="X471" s="57"/>
      <c r="Y471" s="57"/>
      <c r="Z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  <c r="R472" s="57"/>
      <c r="S472" s="57"/>
      <c r="T472" s="57"/>
      <c r="U472" s="57"/>
      <c r="V472" s="57"/>
      <c r="W472" s="57"/>
      <c r="X472" s="57"/>
      <c r="Y472" s="57"/>
      <c r="Z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  <c r="R473" s="57"/>
      <c r="S473" s="57"/>
      <c r="T473" s="57"/>
      <c r="U473" s="57"/>
      <c r="V473" s="57"/>
      <c r="W473" s="57"/>
      <c r="X473" s="57"/>
      <c r="Y473" s="57"/>
      <c r="Z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  <c r="R474" s="57"/>
      <c r="S474" s="57"/>
      <c r="T474" s="57"/>
      <c r="U474" s="57"/>
      <c r="V474" s="57"/>
      <c r="W474" s="57"/>
      <c r="X474" s="57"/>
      <c r="Y474" s="57"/>
      <c r="Z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  <c r="R475" s="57"/>
      <c r="S475" s="57"/>
      <c r="T475" s="57"/>
      <c r="U475" s="57"/>
      <c r="V475" s="57"/>
      <c r="W475" s="57"/>
      <c r="X475" s="57"/>
      <c r="Y475" s="57"/>
      <c r="Z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  <c r="R476" s="57"/>
      <c r="S476" s="57"/>
      <c r="T476" s="57"/>
      <c r="U476" s="57"/>
      <c r="V476" s="57"/>
      <c r="W476" s="57"/>
      <c r="X476" s="57"/>
      <c r="Y476" s="57"/>
      <c r="Z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  <c r="R477" s="57"/>
      <c r="S477" s="57"/>
      <c r="T477" s="57"/>
      <c r="U477" s="57"/>
      <c r="V477" s="57"/>
      <c r="W477" s="57"/>
      <c r="X477" s="57"/>
      <c r="Y477" s="57"/>
      <c r="Z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  <c r="R478" s="57"/>
      <c r="S478" s="57"/>
      <c r="T478" s="57"/>
      <c r="U478" s="57"/>
      <c r="V478" s="57"/>
      <c r="W478" s="57"/>
      <c r="X478" s="57"/>
      <c r="Y478" s="57"/>
      <c r="Z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  <c r="R480" s="57"/>
      <c r="S480" s="57"/>
      <c r="T480" s="57"/>
      <c r="U480" s="57"/>
      <c r="V480" s="57"/>
      <c r="W480" s="57"/>
      <c r="X480" s="57"/>
      <c r="Y480" s="57"/>
      <c r="Z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  <c r="R481" s="57"/>
      <c r="S481" s="57"/>
      <c r="T481" s="57"/>
      <c r="U481" s="57"/>
      <c r="V481" s="57"/>
      <c r="W481" s="57"/>
      <c r="X481" s="57"/>
      <c r="Y481" s="57"/>
      <c r="Z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  <c r="R482" s="57"/>
      <c r="S482" s="57"/>
      <c r="T482" s="57"/>
      <c r="U482" s="57"/>
      <c r="V482" s="57"/>
      <c r="W482" s="57"/>
      <c r="X482" s="57"/>
      <c r="Y482" s="57"/>
      <c r="Z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  <c r="R483" s="57"/>
      <c r="S483" s="57"/>
      <c r="T483" s="57"/>
      <c r="U483" s="57"/>
      <c r="V483" s="57"/>
      <c r="W483" s="57"/>
      <c r="X483" s="57"/>
      <c r="Y483" s="57"/>
      <c r="Z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  <c r="R484" s="57"/>
      <c r="S484" s="57"/>
      <c r="T484" s="57"/>
      <c r="U484" s="57"/>
      <c r="V484" s="57"/>
      <c r="W484" s="57"/>
      <c r="X484" s="57"/>
      <c r="Y484" s="57"/>
      <c r="Z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  <c r="R485" s="57"/>
      <c r="S485" s="57"/>
      <c r="T485" s="57"/>
      <c r="U485" s="57"/>
      <c r="V485" s="57"/>
      <c r="W485" s="57"/>
      <c r="X485" s="57"/>
      <c r="Y485" s="57"/>
      <c r="Z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  <c r="R486" s="57"/>
      <c r="S486" s="57"/>
      <c r="T486" s="57"/>
      <c r="U486" s="57"/>
      <c r="V486" s="57"/>
      <c r="W486" s="57"/>
      <c r="X486" s="57"/>
      <c r="Y486" s="57"/>
      <c r="Z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  <c r="R487" s="57"/>
      <c r="S487" s="57"/>
      <c r="T487" s="57"/>
      <c r="U487" s="57"/>
      <c r="V487" s="57"/>
      <c r="W487" s="57"/>
      <c r="X487" s="57"/>
      <c r="Y487" s="57"/>
      <c r="Z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  <c r="R488" s="57"/>
      <c r="S488" s="57"/>
      <c r="T488" s="57"/>
      <c r="U488" s="57"/>
      <c r="V488" s="57"/>
      <c r="W488" s="57"/>
      <c r="X488" s="57"/>
      <c r="Y488" s="57"/>
      <c r="Z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  <c r="R489" s="57"/>
      <c r="S489" s="57"/>
      <c r="T489" s="57"/>
      <c r="U489" s="57"/>
      <c r="V489" s="57"/>
      <c r="W489" s="57"/>
      <c r="X489" s="57"/>
      <c r="Y489" s="57"/>
      <c r="Z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  <c r="R490" s="57"/>
      <c r="S490" s="57"/>
      <c r="T490" s="57"/>
      <c r="U490" s="57"/>
      <c r="V490" s="57"/>
      <c r="W490" s="57"/>
      <c r="X490" s="57"/>
      <c r="Y490" s="57"/>
      <c r="Z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  <c r="R491" s="57"/>
      <c r="S491" s="57"/>
      <c r="T491" s="57"/>
      <c r="U491" s="57"/>
      <c r="V491" s="57"/>
      <c r="W491" s="57"/>
      <c r="X491" s="57"/>
      <c r="Y491" s="57"/>
      <c r="Z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  <c r="R492" s="57"/>
      <c r="S492" s="57"/>
      <c r="T492" s="57"/>
      <c r="U492" s="57"/>
      <c r="V492" s="57"/>
      <c r="W492" s="57"/>
      <c r="X492" s="57"/>
      <c r="Y492" s="57"/>
      <c r="Z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  <c r="R493" s="57"/>
      <c r="S493" s="57"/>
      <c r="T493" s="57"/>
      <c r="U493" s="57"/>
      <c r="V493" s="57"/>
      <c r="W493" s="57"/>
      <c r="X493" s="57"/>
      <c r="Y493" s="57"/>
      <c r="Z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  <c r="R494" s="57"/>
      <c r="S494" s="57"/>
      <c r="T494" s="57"/>
      <c r="U494" s="57"/>
      <c r="V494" s="57"/>
      <c r="W494" s="57"/>
      <c r="X494" s="57"/>
      <c r="Y494" s="57"/>
      <c r="Z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  <c r="R495" s="57"/>
      <c r="S495" s="57"/>
      <c r="T495" s="57"/>
      <c r="U495" s="57"/>
      <c r="V495" s="57"/>
      <c r="W495" s="57"/>
      <c r="X495" s="57"/>
      <c r="Y495" s="57"/>
      <c r="Z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  <c r="R496" s="57"/>
      <c r="S496" s="57"/>
      <c r="T496" s="57"/>
      <c r="U496" s="57"/>
      <c r="V496" s="57"/>
      <c r="W496" s="57"/>
      <c r="X496" s="57"/>
      <c r="Y496" s="57"/>
      <c r="Z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  <c r="R497" s="57"/>
      <c r="S497" s="57"/>
      <c r="T497" s="57"/>
      <c r="U497" s="57"/>
      <c r="V497" s="57"/>
      <c r="W497" s="57"/>
      <c r="X497" s="57"/>
      <c r="Y497" s="57"/>
      <c r="Z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  <c r="R498" s="57"/>
      <c r="S498" s="57"/>
      <c r="T498" s="57"/>
      <c r="U498" s="57"/>
      <c r="V498" s="57"/>
      <c r="W498" s="57"/>
      <c r="X498" s="57"/>
      <c r="Y498" s="57"/>
      <c r="Z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  <c r="R499" s="57"/>
      <c r="S499" s="57"/>
      <c r="T499" s="57"/>
      <c r="U499" s="57"/>
      <c r="V499" s="57"/>
      <c r="W499" s="57"/>
      <c r="X499" s="57"/>
      <c r="Y499" s="57"/>
      <c r="Z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  <c r="R500" s="57"/>
      <c r="S500" s="57"/>
      <c r="T500" s="57"/>
      <c r="U500" s="57"/>
      <c r="V500" s="57"/>
      <c r="W500" s="57"/>
      <c r="X500" s="57"/>
      <c r="Y500" s="57"/>
      <c r="Z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  <c r="R501" s="57"/>
      <c r="S501" s="57"/>
      <c r="T501" s="57"/>
      <c r="U501" s="57"/>
      <c r="V501" s="57"/>
      <c r="W501" s="57"/>
      <c r="X501" s="57"/>
      <c r="Y501" s="57"/>
      <c r="Z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  <c r="R502" s="57"/>
      <c r="S502" s="57"/>
      <c r="T502" s="57"/>
      <c r="U502" s="57"/>
      <c r="V502" s="57"/>
      <c r="W502" s="57"/>
      <c r="X502" s="57"/>
      <c r="Y502" s="57"/>
      <c r="Z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  <c r="R503" s="57"/>
      <c r="S503" s="57"/>
      <c r="T503" s="57"/>
      <c r="U503" s="57"/>
      <c r="V503" s="57"/>
      <c r="W503" s="57"/>
      <c r="X503" s="57"/>
      <c r="Y503" s="57"/>
      <c r="Z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  <c r="R504" s="57"/>
      <c r="S504" s="57"/>
      <c r="T504" s="57"/>
      <c r="U504" s="57"/>
      <c r="V504" s="57"/>
      <c r="W504" s="57"/>
      <c r="X504" s="57"/>
      <c r="Y504" s="57"/>
      <c r="Z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  <c r="R505" s="57"/>
      <c r="S505" s="57"/>
      <c r="T505" s="57"/>
      <c r="U505" s="57"/>
      <c r="V505" s="57"/>
      <c r="W505" s="57"/>
      <c r="X505" s="57"/>
      <c r="Y505" s="57"/>
      <c r="Z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  <c r="R506" s="57"/>
      <c r="S506" s="57"/>
      <c r="T506" s="57"/>
      <c r="U506" s="57"/>
      <c r="V506" s="57"/>
      <c r="W506" s="57"/>
      <c r="X506" s="57"/>
      <c r="Y506" s="57"/>
      <c r="Z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  <c r="R507" s="57"/>
      <c r="S507" s="57"/>
      <c r="T507" s="57"/>
      <c r="U507" s="57"/>
      <c r="V507" s="57"/>
      <c r="W507" s="57"/>
      <c r="X507" s="57"/>
      <c r="Y507" s="57"/>
      <c r="Z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  <c r="R508" s="57"/>
      <c r="S508" s="57"/>
      <c r="T508" s="57"/>
      <c r="U508" s="57"/>
      <c r="V508" s="57"/>
      <c r="W508" s="57"/>
      <c r="X508" s="57"/>
      <c r="Y508" s="57"/>
      <c r="Z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  <c r="R509" s="57"/>
      <c r="S509" s="57"/>
      <c r="T509" s="57"/>
      <c r="U509" s="57"/>
      <c r="V509" s="57"/>
      <c r="W509" s="57"/>
      <c r="X509" s="57"/>
      <c r="Y509" s="57"/>
      <c r="Z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  <c r="R510" s="57"/>
      <c r="S510" s="57"/>
      <c r="T510" s="57"/>
      <c r="U510" s="57"/>
      <c r="V510" s="57"/>
      <c r="W510" s="57"/>
      <c r="X510" s="57"/>
      <c r="Y510" s="57"/>
      <c r="Z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  <c r="R511" s="57"/>
      <c r="S511" s="57"/>
      <c r="T511" s="57"/>
      <c r="U511" s="57"/>
      <c r="V511" s="57"/>
      <c r="W511" s="57"/>
      <c r="X511" s="57"/>
      <c r="Y511" s="57"/>
      <c r="Z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  <c r="R512" s="57"/>
      <c r="S512" s="57"/>
      <c r="T512" s="57"/>
      <c r="U512" s="57"/>
      <c r="V512" s="57"/>
      <c r="W512" s="57"/>
      <c r="X512" s="57"/>
      <c r="Y512" s="57"/>
      <c r="Z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  <c r="R513" s="57"/>
      <c r="S513" s="57"/>
      <c r="T513" s="57"/>
      <c r="U513" s="57"/>
      <c r="V513" s="57"/>
      <c r="W513" s="57"/>
      <c r="X513" s="57"/>
      <c r="Y513" s="57"/>
      <c r="Z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  <c r="R514" s="57"/>
      <c r="S514" s="57"/>
      <c r="T514" s="57"/>
      <c r="U514" s="57"/>
      <c r="V514" s="57"/>
      <c r="W514" s="57"/>
      <c r="X514" s="57"/>
      <c r="Y514" s="57"/>
      <c r="Z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  <c r="R515" s="57"/>
      <c r="S515" s="57"/>
      <c r="T515" s="57"/>
      <c r="U515" s="57"/>
      <c r="V515" s="57"/>
      <c r="W515" s="57"/>
      <c r="X515" s="57"/>
      <c r="Y515" s="57"/>
      <c r="Z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  <c r="R516" s="57"/>
      <c r="S516" s="57"/>
      <c r="T516" s="57"/>
      <c r="U516" s="57"/>
      <c r="V516" s="57"/>
      <c r="W516" s="57"/>
      <c r="X516" s="57"/>
      <c r="Y516" s="57"/>
      <c r="Z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  <c r="R518" s="57"/>
      <c r="S518" s="57"/>
      <c r="T518" s="57"/>
      <c r="U518" s="57"/>
      <c r="V518" s="57"/>
      <c r="W518" s="57"/>
      <c r="X518" s="57"/>
      <c r="Y518" s="57"/>
      <c r="Z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  <c r="R519" s="57"/>
      <c r="S519" s="57"/>
      <c r="T519" s="57"/>
      <c r="U519" s="57"/>
      <c r="V519" s="57"/>
      <c r="W519" s="57"/>
      <c r="X519" s="57"/>
      <c r="Y519" s="57"/>
      <c r="Z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  <c r="R520" s="57"/>
      <c r="S520" s="57"/>
      <c r="T520" s="57"/>
      <c r="U520" s="57"/>
      <c r="V520" s="57"/>
      <c r="W520" s="57"/>
      <c r="X520" s="57"/>
      <c r="Y520" s="57"/>
      <c r="Z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  <c r="R521" s="57"/>
      <c r="S521" s="57"/>
      <c r="T521" s="57"/>
      <c r="U521" s="57"/>
      <c r="V521" s="57"/>
      <c r="W521" s="57"/>
      <c r="X521" s="57"/>
      <c r="Y521" s="57"/>
      <c r="Z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  <c r="R522" s="57"/>
      <c r="S522" s="57"/>
      <c r="T522" s="57"/>
      <c r="U522" s="57"/>
      <c r="V522" s="57"/>
      <c r="W522" s="57"/>
      <c r="X522" s="57"/>
      <c r="Y522" s="57"/>
      <c r="Z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  <c r="R523" s="57"/>
      <c r="S523" s="57"/>
      <c r="T523" s="57"/>
      <c r="U523" s="57"/>
      <c r="V523" s="57"/>
      <c r="W523" s="57"/>
      <c r="X523" s="57"/>
      <c r="Y523" s="57"/>
      <c r="Z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  <c r="R524" s="57"/>
      <c r="S524" s="57"/>
      <c r="T524" s="57"/>
      <c r="U524" s="57"/>
      <c r="V524" s="57"/>
      <c r="W524" s="57"/>
      <c r="X524" s="57"/>
      <c r="Y524" s="57"/>
      <c r="Z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  <c r="R525" s="57"/>
      <c r="S525" s="57"/>
      <c r="T525" s="57"/>
      <c r="U525" s="57"/>
      <c r="V525" s="57"/>
      <c r="W525" s="57"/>
      <c r="X525" s="57"/>
      <c r="Y525" s="57"/>
      <c r="Z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  <c r="R526" s="57"/>
      <c r="S526" s="57"/>
      <c r="T526" s="57"/>
      <c r="U526" s="57"/>
      <c r="V526" s="57"/>
      <c r="W526" s="57"/>
      <c r="X526" s="57"/>
      <c r="Y526" s="57"/>
      <c r="Z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  <c r="R527" s="57"/>
      <c r="S527" s="57"/>
      <c r="T527" s="57"/>
      <c r="U527" s="57"/>
      <c r="V527" s="57"/>
      <c r="W527" s="57"/>
      <c r="X527" s="57"/>
      <c r="Y527" s="57"/>
      <c r="Z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  <c r="R528" s="57"/>
      <c r="S528" s="57"/>
      <c r="T528" s="57"/>
      <c r="U528" s="57"/>
      <c r="V528" s="57"/>
      <c r="W528" s="57"/>
      <c r="X528" s="57"/>
      <c r="Y528" s="57"/>
      <c r="Z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  <c r="R529" s="57"/>
      <c r="S529" s="57"/>
      <c r="T529" s="57"/>
      <c r="U529" s="57"/>
      <c r="V529" s="57"/>
      <c r="W529" s="57"/>
      <c r="X529" s="57"/>
      <c r="Y529" s="57"/>
      <c r="Z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  <c r="R530" s="57"/>
      <c r="S530" s="57"/>
      <c r="T530" s="57"/>
      <c r="U530" s="57"/>
      <c r="V530" s="57"/>
      <c r="W530" s="57"/>
      <c r="X530" s="57"/>
      <c r="Y530" s="57"/>
      <c r="Z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  <c r="R531" s="57"/>
      <c r="S531" s="57"/>
      <c r="T531" s="57"/>
      <c r="U531" s="57"/>
      <c r="V531" s="57"/>
      <c r="W531" s="57"/>
      <c r="X531" s="57"/>
      <c r="Y531" s="57"/>
      <c r="Z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  <c r="R532" s="57"/>
      <c r="S532" s="57"/>
      <c r="T532" s="57"/>
      <c r="U532" s="57"/>
      <c r="V532" s="57"/>
      <c r="W532" s="57"/>
      <c r="X532" s="57"/>
      <c r="Y532" s="57"/>
      <c r="Z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  <c r="R533" s="57"/>
      <c r="S533" s="57"/>
      <c r="T533" s="57"/>
      <c r="U533" s="57"/>
      <c r="V533" s="57"/>
      <c r="W533" s="57"/>
      <c r="X533" s="57"/>
      <c r="Y533" s="57"/>
      <c r="Z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  <c r="R534" s="57"/>
      <c r="S534" s="57"/>
      <c r="T534" s="57"/>
      <c r="U534" s="57"/>
      <c r="V534" s="57"/>
      <c r="W534" s="57"/>
      <c r="X534" s="57"/>
      <c r="Y534" s="57"/>
      <c r="Z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  <c r="R535" s="57"/>
      <c r="S535" s="57"/>
      <c r="T535" s="57"/>
      <c r="U535" s="57"/>
      <c r="V535" s="57"/>
      <c r="W535" s="57"/>
      <c r="X535" s="57"/>
      <c r="Y535" s="57"/>
      <c r="Z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  <c r="R536" s="57"/>
      <c r="S536" s="57"/>
      <c r="T536" s="57"/>
      <c r="U536" s="57"/>
      <c r="V536" s="57"/>
      <c r="W536" s="57"/>
      <c r="X536" s="57"/>
      <c r="Y536" s="57"/>
      <c r="Z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  <c r="R537" s="57"/>
      <c r="S537" s="57"/>
      <c r="T537" s="57"/>
      <c r="U537" s="57"/>
      <c r="V537" s="57"/>
      <c r="W537" s="57"/>
      <c r="X537" s="57"/>
      <c r="Y537" s="57"/>
      <c r="Z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  <c r="R538" s="57"/>
      <c r="S538" s="57"/>
      <c r="T538" s="57"/>
      <c r="U538" s="57"/>
      <c r="V538" s="57"/>
      <c r="W538" s="57"/>
      <c r="X538" s="57"/>
      <c r="Y538" s="57"/>
      <c r="Z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  <c r="R539" s="57"/>
      <c r="S539" s="57"/>
      <c r="T539" s="57"/>
      <c r="U539" s="57"/>
      <c r="V539" s="57"/>
      <c r="W539" s="57"/>
      <c r="X539" s="57"/>
      <c r="Y539" s="57"/>
      <c r="Z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  <c r="R540" s="57"/>
      <c r="S540" s="57"/>
      <c r="T540" s="57"/>
      <c r="U540" s="57"/>
      <c r="V540" s="57"/>
      <c r="W540" s="57"/>
      <c r="X540" s="57"/>
      <c r="Y540" s="57"/>
      <c r="Z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  <c r="R541" s="57"/>
      <c r="S541" s="57"/>
      <c r="T541" s="57"/>
      <c r="U541" s="57"/>
      <c r="V541" s="57"/>
      <c r="W541" s="57"/>
      <c r="X541" s="57"/>
      <c r="Y541" s="57"/>
      <c r="Z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  <c r="R542" s="57"/>
      <c r="S542" s="57"/>
      <c r="T542" s="57"/>
      <c r="U542" s="57"/>
      <c r="V542" s="57"/>
      <c r="W542" s="57"/>
      <c r="X542" s="57"/>
      <c r="Y542" s="57"/>
      <c r="Z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  <c r="R543" s="57"/>
      <c r="S543" s="57"/>
      <c r="T543" s="57"/>
      <c r="U543" s="57"/>
      <c r="V543" s="57"/>
      <c r="W543" s="57"/>
      <c r="X543" s="57"/>
      <c r="Y543" s="57"/>
      <c r="Z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  <c r="R544" s="57"/>
      <c r="S544" s="57"/>
      <c r="T544" s="57"/>
      <c r="U544" s="57"/>
      <c r="V544" s="57"/>
      <c r="W544" s="57"/>
      <c r="X544" s="57"/>
      <c r="Y544" s="57"/>
      <c r="Z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  <c r="R545" s="57"/>
      <c r="S545" s="57"/>
      <c r="T545" s="57"/>
      <c r="U545" s="57"/>
      <c r="V545" s="57"/>
      <c r="W545" s="57"/>
      <c r="X545" s="57"/>
      <c r="Y545" s="57"/>
      <c r="Z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  <c r="R546" s="57"/>
      <c r="S546" s="57"/>
      <c r="T546" s="57"/>
      <c r="U546" s="57"/>
      <c r="V546" s="57"/>
      <c r="W546" s="57"/>
      <c r="X546" s="57"/>
      <c r="Y546" s="57"/>
      <c r="Z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  <c r="R547" s="57"/>
      <c r="S547" s="57"/>
      <c r="T547" s="57"/>
      <c r="U547" s="57"/>
      <c r="V547" s="57"/>
      <c r="W547" s="57"/>
      <c r="X547" s="57"/>
      <c r="Y547" s="57"/>
      <c r="Z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  <c r="R548" s="57"/>
      <c r="S548" s="57"/>
      <c r="T548" s="57"/>
      <c r="U548" s="57"/>
      <c r="V548" s="57"/>
      <c r="W548" s="57"/>
      <c r="X548" s="57"/>
      <c r="Y548" s="57"/>
      <c r="Z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  <c r="R549" s="57"/>
      <c r="S549" s="57"/>
      <c r="T549" s="57"/>
      <c r="U549" s="57"/>
      <c r="V549" s="57"/>
      <c r="W549" s="57"/>
      <c r="X549" s="57"/>
      <c r="Y549" s="57"/>
      <c r="Z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  <c r="R550" s="57"/>
      <c r="S550" s="57"/>
      <c r="T550" s="57"/>
      <c r="U550" s="57"/>
      <c r="V550" s="57"/>
      <c r="W550" s="57"/>
      <c r="X550" s="57"/>
      <c r="Y550" s="57"/>
      <c r="Z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  <c r="R551" s="57"/>
      <c r="S551" s="57"/>
      <c r="T551" s="57"/>
      <c r="U551" s="57"/>
      <c r="V551" s="57"/>
      <c r="W551" s="57"/>
      <c r="X551" s="57"/>
      <c r="Y551" s="57"/>
      <c r="Z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  <c r="R552" s="57"/>
      <c r="S552" s="57"/>
      <c r="T552" s="57"/>
      <c r="U552" s="57"/>
      <c r="V552" s="57"/>
      <c r="W552" s="57"/>
      <c r="X552" s="57"/>
      <c r="Y552" s="57"/>
      <c r="Z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  <c r="R553" s="57"/>
      <c r="S553" s="57"/>
      <c r="T553" s="57"/>
      <c r="U553" s="57"/>
      <c r="V553" s="57"/>
      <c r="W553" s="57"/>
      <c r="X553" s="57"/>
      <c r="Y553" s="57"/>
      <c r="Z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  <c r="R554" s="57"/>
      <c r="S554" s="57"/>
      <c r="T554" s="57"/>
      <c r="U554" s="57"/>
      <c r="V554" s="57"/>
      <c r="W554" s="57"/>
      <c r="X554" s="57"/>
      <c r="Y554" s="57"/>
      <c r="Z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  <c r="R556" s="57"/>
      <c r="S556" s="57"/>
      <c r="T556" s="57"/>
      <c r="U556" s="57"/>
      <c r="V556" s="57"/>
      <c r="W556" s="57"/>
      <c r="X556" s="57"/>
      <c r="Y556" s="57"/>
      <c r="Z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  <c r="R557" s="57"/>
      <c r="S557" s="57"/>
      <c r="T557" s="57"/>
      <c r="U557" s="57"/>
      <c r="V557" s="57"/>
      <c r="W557" s="57"/>
      <c r="X557" s="57"/>
      <c r="Y557" s="57"/>
      <c r="Z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  <c r="R558" s="57"/>
      <c r="S558" s="57"/>
      <c r="T558" s="57"/>
      <c r="U558" s="57"/>
      <c r="V558" s="57"/>
      <c r="W558" s="57"/>
      <c r="X558" s="57"/>
      <c r="Y558" s="57"/>
      <c r="Z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  <c r="R559" s="57"/>
      <c r="S559" s="57"/>
      <c r="T559" s="57"/>
      <c r="U559" s="57"/>
      <c r="V559" s="57"/>
      <c r="W559" s="57"/>
      <c r="X559" s="57"/>
      <c r="Y559" s="57"/>
      <c r="Z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  <c r="R560" s="57"/>
      <c r="S560" s="57"/>
      <c r="T560" s="57"/>
      <c r="U560" s="57"/>
      <c r="V560" s="57"/>
      <c r="W560" s="57"/>
      <c r="X560" s="57"/>
      <c r="Y560" s="57"/>
      <c r="Z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  <c r="R561" s="57"/>
      <c r="S561" s="57"/>
      <c r="T561" s="57"/>
      <c r="U561" s="57"/>
      <c r="V561" s="57"/>
      <c r="W561" s="57"/>
      <c r="X561" s="57"/>
      <c r="Y561" s="57"/>
      <c r="Z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  <c r="R562" s="57"/>
      <c r="S562" s="57"/>
      <c r="T562" s="57"/>
      <c r="U562" s="57"/>
      <c r="V562" s="57"/>
      <c r="W562" s="57"/>
      <c r="X562" s="57"/>
      <c r="Y562" s="57"/>
      <c r="Z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  <c r="R563" s="57"/>
      <c r="S563" s="57"/>
      <c r="T563" s="57"/>
      <c r="U563" s="57"/>
      <c r="V563" s="57"/>
      <c r="W563" s="57"/>
      <c r="X563" s="57"/>
      <c r="Y563" s="57"/>
      <c r="Z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  <c r="R564" s="57"/>
      <c r="S564" s="57"/>
      <c r="T564" s="57"/>
      <c r="U564" s="57"/>
      <c r="V564" s="57"/>
      <c r="W564" s="57"/>
      <c r="X564" s="57"/>
      <c r="Y564" s="57"/>
      <c r="Z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  <c r="R565" s="57"/>
      <c r="S565" s="57"/>
      <c r="T565" s="57"/>
      <c r="U565" s="57"/>
      <c r="V565" s="57"/>
      <c r="W565" s="57"/>
      <c r="X565" s="57"/>
      <c r="Y565" s="57"/>
      <c r="Z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  <c r="R566" s="57"/>
      <c r="S566" s="57"/>
      <c r="T566" s="57"/>
      <c r="U566" s="57"/>
      <c r="V566" s="57"/>
      <c r="W566" s="57"/>
      <c r="X566" s="57"/>
      <c r="Y566" s="57"/>
      <c r="Z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  <c r="R567" s="57"/>
      <c r="S567" s="57"/>
      <c r="T567" s="57"/>
      <c r="U567" s="57"/>
      <c r="V567" s="57"/>
      <c r="W567" s="57"/>
      <c r="X567" s="57"/>
      <c r="Y567" s="57"/>
      <c r="Z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  <c r="R568" s="57"/>
      <c r="S568" s="57"/>
      <c r="T568" s="57"/>
      <c r="U568" s="57"/>
      <c r="V568" s="57"/>
      <c r="W568" s="57"/>
      <c r="X568" s="57"/>
      <c r="Y568" s="57"/>
      <c r="Z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  <c r="R569" s="57"/>
      <c r="S569" s="57"/>
      <c r="T569" s="57"/>
      <c r="U569" s="57"/>
      <c r="V569" s="57"/>
      <c r="W569" s="57"/>
      <c r="X569" s="57"/>
      <c r="Y569" s="57"/>
      <c r="Z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  <c r="R570" s="57"/>
      <c r="S570" s="57"/>
      <c r="T570" s="57"/>
      <c r="U570" s="57"/>
      <c r="V570" s="57"/>
      <c r="W570" s="57"/>
      <c r="X570" s="57"/>
      <c r="Y570" s="57"/>
      <c r="Z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  <c r="R571" s="57"/>
      <c r="S571" s="57"/>
      <c r="T571" s="57"/>
      <c r="U571" s="57"/>
      <c r="V571" s="57"/>
      <c r="W571" s="57"/>
      <c r="X571" s="57"/>
      <c r="Y571" s="57"/>
      <c r="Z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  <c r="R572" s="57"/>
      <c r="S572" s="57"/>
      <c r="T572" s="57"/>
      <c r="U572" s="57"/>
      <c r="V572" s="57"/>
      <c r="W572" s="57"/>
      <c r="X572" s="57"/>
      <c r="Y572" s="57"/>
      <c r="Z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  <c r="R573" s="57"/>
      <c r="S573" s="57"/>
      <c r="T573" s="57"/>
      <c r="U573" s="57"/>
      <c r="V573" s="57"/>
      <c r="W573" s="57"/>
      <c r="X573" s="57"/>
      <c r="Y573" s="57"/>
      <c r="Z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  <c r="R574" s="57"/>
      <c r="S574" s="57"/>
      <c r="T574" s="57"/>
      <c r="U574" s="57"/>
      <c r="V574" s="57"/>
      <c r="W574" s="57"/>
      <c r="X574" s="57"/>
      <c r="Y574" s="57"/>
      <c r="Z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  <c r="R575" s="57"/>
      <c r="S575" s="57"/>
      <c r="T575" s="57"/>
      <c r="U575" s="57"/>
      <c r="V575" s="57"/>
      <c r="W575" s="57"/>
      <c r="X575" s="57"/>
      <c r="Y575" s="57"/>
      <c r="Z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  <c r="R576" s="57"/>
      <c r="S576" s="57"/>
      <c r="T576" s="57"/>
      <c r="U576" s="57"/>
      <c r="V576" s="57"/>
      <c r="W576" s="57"/>
      <c r="X576" s="57"/>
      <c r="Y576" s="57"/>
      <c r="Z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  <c r="R577" s="57"/>
      <c r="S577" s="57"/>
      <c r="T577" s="57"/>
      <c r="U577" s="57"/>
      <c r="V577" s="57"/>
      <c r="W577" s="57"/>
      <c r="X577" s="57"/>
      <c r="Y577" s="57"/>
      <c r="Z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  <c r="R578" s="57"/>
      <c r="S578" s="57"/>
      <c r="T578" s="57"/>
      <c r="U578" s="57"/>
      <c r="V578" s="57"/>
      <c r="W578" s="57"/>
      <c r="X578" s="57"/>
      <c r="Y578" s="57"/>
      <c r="Z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  <c r="R579" s="57"/>
      <c r="S579" s="57"/>
      <c r="T579" s="57"/>
      <c r="U579" s="57"/>
      <c r="V579" s="57"/>
      <c r="W579" s="57"/>
      <c r="X579" s="57"/>
      <c r="Y579" s="57"/>
      <c r="Z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  <c r="R580" s="57"/>
      <c r="S580" s="57"/>
      <c r="T580" s="57"/>
      <c r="U580" s="57"/>
      <c r="V580" s="57"/>
      <c r="W580" s="57"/>
      <c r="X580" s="57"/>
      <c r="Y580" s="57"/>
      <c r="Z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  <c r="R581" s="57"/>
      <c r="S581" s="57"/>
      <c r="T581" s="57"/>
      <c r="U581" s="57"/>
      <c r="V581" s="57"/>
      <c r="W581" s="57"/>
      <c r="X581" s="57"/>
      <c r="Y581" s="57"/>
      <c r="Z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  <c r="R582" s="57"/>
      <c r="S582" s="57"/>
      <c r="T582" s="57"/>
      <c r="U582" s="57"/>
      <c r="V582" s="57"/>
      <c r="W582" s="57"/>
      <c r="X582" s="57"/>
      <c r="Y582" s="57"/>
      <c r="Z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  <c r="R583" s="57"/>
      <c r="S583" s="57"/>
      <c r="T583" s="57"/>
      <c r="U583" s="57"/>
      <c r="V583" s="57"/>
      <c r="W583" s="57"/>
      <c r="X583" s="57"/>
      <c r="Y583" s="57"/>
      <c r="Z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  <c r="R584" s="57"/>
      <c r="S584" s="57"/>
      <c r="T584" s="57"/>
      <c r="U584" s="57"/>
      <c r="V584" s="57"/>
      <c r="W584" s="57"/>
      <c r="X584" s="57"/>
      <c r="Y584" s="57"/>
      <c r="Z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  <c r="R585" s="57"/>
      <c r="S585" s="57"/>
      <c r="T585" s="57"/>
      <c r="U585" s="57"/>
      <c r="V585" s="57"/>
      <c r="W585" s="57"/>
      <c r="X585" s="57"/>
      <c r="Y585" s="57"/>
      <c r="Z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  <c r="R586" s="57"/>
      <c r="S586" s="57"/>
      <c r="T586" s="57"/>
      <c r="U586" s="57"/>
      <c r="V586" s="57"/>
      <c r="W586" s="57"/>
      <c r="X586" s="57"/>
      <c r="Y586" s="57"/>
      <c r="Z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  <c r="R587" s="57"/>
      <c r="S587" s="57"/>
      <c r="T587" s="57"/>
      <c r="U587" s="57"/>
      <c r="V587" s="57"/>
      <c r="W587" s="57"/>
      <c r="X587" s="57"/>
      <c r="Y587" s="57"/>
      <c r="Z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  <c r="R588" s="57"/>
      <c r="S588" s="57"/>
      <c r="T588" s="57"/>
      <c r="U588" s="57"/>
      <c r="V588" s="57"/>
      <c r="W588" s="57"/>
      <c r="X588" s="57"/>
      <c r="Y588" s="57"/>
      <c r="Z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  <c r="R589" s="57"/>
      <c r="S589" s="57"/>
      <c r="T589" s="57"/>
      <c r="U589" s="57"/>
      <c r="V589" s="57"/>
      <c r="W589" s="57"/>
      <c r="X589" s="57"/>
      <c r="Y589" s="57"/>
      <c r="Z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  <c r="R590" s="57"/>
      <c r="S590" s="57"/>
      <c r="T590" s="57"/>
      <c r="U590" s="57"/>
      <c r="V590" s="57"/>
      <c r="W590" s="57"/>
      <c r="X590" s="57"/>
      <c r="Y590" s="57"/>
      <c r="Z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  <c r="R591" s="57"/>
      <c r="S591" s="57"/>
      <c r="T591" s="57"/>
      <c r="U591" s="57"/>
      <c r="V591" s="57"/>
      <c r="W591" s="57"/>
      <c r="X591" s="57"/>
      <c r="Y591" s="57"/>
      <c r="Z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  <c r="R592" s="57"/>
      <c r="S592" s="57"/>
      <c r="T592" s="57"/>
      <c r="U592" s="57"/>
      <c r="V592" s="57"/>
      <c r="W592" s="57"/>
      <c r="X592" s="57"/>
      <c r="Y592" s="57"/>
      <c r="Z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  <c r="R594" s="57"/>
      <c r="S594" s="57"/>
      <c r="T594" s="57"/>
      <c r="U594" s="57"/>
      <c r="V594" s="57"/>
      <c r="W594" s="57"/>
      <c r="X594" s="57"/>
      <c r="Y594" s="57"/>
      <c r="Z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  <c r="R595" s="57"/>
      <c r="S595" s="57"/>
      <c r="T595" s="57"/>
      <c r="U595" s="57"/>
      <c r="V595" s="57"/>
      <c r="W595" s="57"/>
      <c r="X595" s="57"/>
      <c r="Y595" s="57"/>
      <c r="Z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  <c r="R596" s="57"/>
      <c r="S596" s="57"/>
      <c r="T596" s="57"/>
      <c r="U596" s="57"/>
      <c r="V596" s="57"/>
      <c r="W596" s="57"/>
      <c r="X596" s="57"/>
      <c r="Y596" s="57"/>
      <c r="Z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  <c r="R597" s="57"/>
      <c r="S597" s="57"/>
      <c r="T597" s="57"/>
      <c r="U597" s="57"/>
      <c r="V597" s="57"/>
      <c r="W597" s="57"/>
      <c r="X597" s="57"/>
      <c r="Y597" s="57"/>
      <c r="Z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  <c r="R598" s="57"/>
      <c r="S598" s="57"/>
      <c r="T598" s="57"/>
      <c r="U598" s="57"/>
      <c r="V598" s="57"/>
      <c r="W598" s="57"/>
      <c r="X598" s="57"/>
      <c r="Y598" s="57"/>
      <c r="Z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  <c r="R599" s="57"/>
      <c r="S599" s="57"/>
      <c r="T599" s="57"/>
      <c r="U599" s="57"/>
      <c r="V599" s="57"/>
      <c r="W599" s="57"/>
      <c r="X599" s="57"/>
      <c r="Y599" s="57"/>
      <c r="Z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  <c r="R600" s="57"/>
      <c r="S600" s="57"/>
      <c r="T600" s="57"/>
      <c r="U600" s="57"/>
      <c r="V600" s="57"/>
      <c r="W600" s="57"/>
      <c r="X600" s="57"/>
      <c r="Y600" s="57"/>
      <c r="Z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  <c r="R601" s="57"/>
      <c r="S601" s="57"/>
      <c r="T601" s="57"/>
      <c r="U601" s="57"/>
      <c r="V601" s="57"/>
      <c r="W601" s="57"/>
      <c r="X601" s="57"/>
      <c r="Y601" s="57"/>
      <c r="Z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  <c r="R602" s="57"/>
      <c r="S602" s="57"/>
      <c r="T602" s="57"/>
      <c r="U602" s="57"/>
      <c r="V602" s="57"/>
      <c r="W602" s="57"/>
      <c r="X602" s="57"/>
      <c r="Y602" s="57"/>
      <c r="Z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  <c r="R603" s="57"/>
      <c r="S603" s="57"/>
      <c r="T603" s="57"/>
      <c r="U603" s="57"/>
      <c r="V603" s="57"/>
      <c r="W603" s="57"/>
      <c r="X603" s="57"/>
      <c r="Y603" s="57"/>
      <c r="Z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  <c r="R604" s="57"/>
      <c r="S604" s="57"/>
      <c r="T604" s="57"/>
      <c r="U604" s="57"/>
      <c r="V604" s="57"/>
      <c r="W604" s="57"/>
      <c r="X604" s="57"/>
      <c r="Y604" s="57"/>
      <c r="Z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  <c r="R605" s="57"/>
      <c r="S605" s="57"/>
      <c r="T605" s="57"/>
      <c r="U605" s="57"/>
      <c r="V605" s="57"/>
      <c r="W605" s="57"/>
      <c r="X605" s="57"/>
      <c r="Y605" s="57"/>
      <c r="Z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  <c r="R606" s="57"/>
      <c r="S606" s="57"/>
      <c r="T606" s="57"/>
      <c r="U606" s="57"/>
      <c r="V606" s="57"/>
      <c r="W606" s="57"/>
      <c r="X606" s="57"/>
      <c r="Y606" s="57"/>
      <c r="Z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  <c r="R607" s="57"/>
      <c r="S607" s="57"/>
      <c r="T607" s="57"/>
      <c r="U607" s="57"/>
      <c r="V607" s="57"/>
      <c r="W607" s="57"/>
      <c r="X607" s="57"/>
      <c r="Y607" s="57"/>
      <c r="Z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  <c r="R608" s="57"/>
      <c r="S608" s="57"/>
      <c r="T608" s="57"/>
      <c r="U608" s="57"/>
      <c r="V608" s="57"/>
      <c r="W608" s="57"/>
      <c r="X608" s="57"/>
      <c r="Y608" s="57"/>
      <c r="Z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  <c r="R609" s="57"/>
      <c r="S609" s="57"/>
      <c r="T609" s="57"/>
      <c r="U609" s="57"/>
      <c r="V609" s="57"/>
      <c r="W609" s="57"/>
      <c r="X609" s="57"/>
      <c r="Y609" s="57"/>
      <c r="Z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  <c r="R610" s="57"/>
      <c r="S610" s="57"/>
      <c r="T610" s="57"/>
      <c r="U610" s="57"/>
      <c r="V610" s="57"/>
      <c r="W610" s="57"/>
      <c r="X610" s="57"/>
      <c r="Y610" s="57"/>
      <c r="Z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  <c r="R611" s="57"/>
      <c r="S611" s="57"/>
      <c r="T611" s="57"/>
      <c r="U611" s="57"/>
      <c r="V611" s="57"/>
      <c r="W611" s="57"/>
      <c r="X611" s="57"/>
      <c r="Y611" s="57"/>
      <c r="Z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  <c r="R612" s="57"/>
      <c r="S612" s="57"/>
      <c r="T612" s="57"/>
      <c r="U612" s="57"/>
      <c r="V612" s="57"/>
      <c r="W612" s="57"/>
      <c r="X612" s="57"/>
      <c r="Y612" s="57"/>
      <c r="Z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  <c r="R613" s="57"/>
      <c r="S613" s="57"/>
      <c r="T613" s="57"/>
      <c r="U613" s="57"/>
      <c r="V613" s="57"/>
      <c r="W613" s="57"/>
      <c r="X613" s="57"/>
      <c r="Y613" s="57"/>
      <c r="Z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  <c r="R614" s="57"/>
      <c r="S614" s="57"/>
      <c r="T614" s="57"/>
      <c r="U614" s="57"/>
      <c r="V614" s="57"/>
      <c r="W614" s="57"/>
      <c r="X614" s="57"/>
      <c r="Y614" s="57"/>
      <c r="Z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  <c r="R615" s="57"/>
      <c r="S615" s="57"/>
      <c r="T615" s="57"/>
      <c r="U615" s="57"/>
      <c r="V615" s="57"/>
      <c r="W615" s="57"/>
      <c r="X615" s="57"/>
      <c r="Y615" s="57"/>
      <c r="Z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  <c r="R616" s="57"/>
      <c r="S616" s="57"/>
      <c r="T616" s="57"/>
      <c r="U616" s="57"/>
      <c r="V616" s="57"/>
      <c r="W616" s="57"/>
      <c r="X616" s="57"/>
      <c r="Y616" s="57"/>
      <c r="Z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  <c r="R617" s="57"/>
      <c r="S617" s="57"/>
      <c r="T617" s="57"/>
      <c r="U617" s="57"/>
      <c r="V617" s="57"/>
      <c r="W617" s="57"/>
      <c r="X617" s="57"/>
      <c r="Y617" s="57"/>
      <c r="Z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  <c r="R618" s="57"/>
      <c r="S618" s="57"/>
      <c r="T618" s="57"/>
      <c r="U618" s="57"/>
      <c r="V618" s="57"/>
      <c r="W618" s="57"/>
      <c r="X618" s="57"/>
      <c r="Y618" s="57"/>
      <c r="Z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  <c r="R619" s="57"/>
      <c r="S619" s="57"/>
      <c r="T619" s="57"/>
      <c r="U619" s="57"/>
      <c r="V619" s="57"/>
      <c r="W619" s="57"/>
      <c r="X619" s="57"/>
      <c r="Y619" s="57"/>
      <c r="Z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  <c r="R620" s="57"/>
      <c r="S620" s="57"/>
      <c r="T620" s="57"/>
      <c r="U620" s="57"/>
      <c r="V620" s="57"/>
      <c r="W620" s="57"/>
      <c r="X620" s="57"/>
      <c r="Y620" s="57"/>
      <c r="Z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  <c r="R621" s="57"/>
      <c r="S621" s="57"/>
      <c r="T621" s="57"/>
      <c r="U621" s="57"/>
      <c r="V621" s="57"/>
      <c r="W621" s="57"/>
      <c r="X621" s="57"/>
      <c r="Y621" s="57"/>
      <c r="Z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  <c r="R622" s="57"/>
      <c r="S622" s="57"/>
      <c r="T622" s="57"/>
      <c r="U622" s="57"/>
      <c r="V622" s="57"/>
      <c r="W622" s="57"/>
      <c r="X622" s="57"/>
      <c r="Y622" s="57"/>
      <c r="Z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  <c r="R623" s="57"/>
      <c r="S623" s="57"/>
      <c r="T623" s="57"/>
      <c r="U623" s="57"/>
      <c r="V623" s="57"/>
      <c r="W623" s="57"/>
      <c r="X623" s="57"/>
      <c r="Y623" s="57"/>
      <c r="Z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  <c r="R624" s="57"/>
      <c r="S624" s="57"/>
      <c r="T624" s="57"/>
      <c r="U624" s="57"/>
      <c r="V624" s="57"/>
      <c r="W624" s="57"/>
      <c r="X624" s="57"/>
      <c r="Y624" s="57"/>
      <c r="Z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  <c r="R625" s="57"/>
      <c r="S625" s="57"/>
      <c r="T625" s="57"/>
      <c r="U625" s="57"/>
      <c r="V625" s="57"/>
      <c r="W625" s="57"/>
      <c r="X625" s="57"/>
      <c r="Y625" s="57"/>
      <c r="Z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  <c r="R626" s="57"/>
      <c r="S626" s="57"/>
      <c r="T626" s="57"/>
      <c r="U626" s="57"/>
      <c r="V626" s="57"/>
      <c r="W626" s="57"/>
      <c r="X626" s="57"/>
      <c r="Y626" s="57"/>
      <c r="Z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  <c r="R627" s="57"/>
      <c r="S627" s="57"/>
      <c r="T627" s="57"/>
      <c r="U627" s="57"/>
      <c r="V627" s="57"/>
      <c r="W627" s="57"/>
      <c r="X627" s="57"/>
      <c r="Y627" s="57"/>
      <c r="Z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  <c r="R628" s="57"/>
      <c r="S628" s="57"/>
      <c r="T628" s="57"/>
      <c r="U628" s="57"/>
      <c r="V628" s="57"/>
      <c r="W628" s="57"/>
      <c r="X628" s="57"/>
      <c r="Y628" s="57"/>
      <c r="Z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  <c r="R629" s="57"/>
      <c r="S629" s="57"/>
      <c r="T629" s="57"/>
      <c r="U629" s="57"/>
      <c r="V629" s="57"/>
      <c r="W629" s="57"/>
      <c r="X629" s="57"/>
      <c r="Y629" s="57"/>
      <c r="Z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  <c r="R630" s="57"/>
      <c r="S630" s="57"/>
      <c r="T630" s="57"/>
      <c r="U630" s="57"/>
      <c r="V630" s="57"/>
      <c r="W630" s="57"/>
      <c r="X630" s="57"/>
      <c r="Y630" s="57"/>
      <c r="Z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  <c r="R632" s="57"/>
      <c r="S632" s="57"/>
      <c r="T632" s="57"/>
      <c r="U632" s="57"/>
      <c r="V632" s="57"/>
      <c r="W632" s="57"/>
      <c r="X632" s="57"/>
      <c r="Y632" s="57"/>
      <c r="Z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  <c r="R633" s="57"/>
      <c r="S633" s="57"/>
      <c r="T633" s="57"/>
      <c r="U633" s="57"/>
      <c r="V633" s="57"/>
      <c r="W633" s="57"/>
      <c r="X633" s="57"/>
      <c r="Y633" s="57"/>
      <c r="Z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  <c r="R634" s="57"/>
      <c r="S634" s="57"/>
      <c r="T634" s="57"/>
      <c r="U634" s="57"/>
      <c r="V634" s="57"/>
      <c r="W634" s="57"/>
      <c r="X634" s="57"/>
      <c r="Y634" s="57"/>
      <c r="Z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  <c r="R635" s="57"/>
      <c r="S635" s="57"/>
      <c r="T635" s="57"/>
      <c r="U635" s="57"/>
      <c r="V635" s="57"/>
      <c r="W635" s="57"/>
      <c r="X635" s="57"/>
      <c r="Y635" s="57"/>
      <c r="Z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  <c r="R636" s="57"/>
      <c r="S636" s="57"/>
      <c r="T636" s="57"/>
      <c r="U636" s="57"/>
      <c r="V636" s="57"/>
      <c r="W636" s="57"/>
      <c r="X636" s="57"/>
      <c r="Y636" s="57"/>
      <c r="Z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  <c r="R637" s="57"/>
      <c r="S637" s="57"/>
      <c r="T637" s="57"/>
      <c r="U637" s="57"/>
      <c r="V637" s="57"/>
      <c r="W637" s="57"/>
      <c r="X637" s="57"/>
      <c r="Y637" s="57"/>
      <c r="Z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  <c r="R638" s="57"/>
      <c r="S638" s="57"/>
      <c r="T638" s="57"/>
      <c r="U638" s="57"/>
      <c r="V638" s="57"/>
      <c r="W638" s="57"/>
      <c r="X638" s="57"/>
      <c r="Y638" s="57"/>
      <c r="Z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  <c r="R639" s="57"/>
      <c r="S639" s="57"/>
      <c r="T639" s="57"/>
      <c r="U639" s="57"/>
      <c r="V639" s="57"/>
      <c r="W639" s="57"/>
      <c r="X639" s="57"/>
      <c r="Y639" s="57"/>
      <c r="Z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  <c r="R640" s="57"/>
      <c r="S640" s="57"/>
      <c r="T640" s="57"/>
      <c r="U640" s="57"/>
      <c r="V640" s="57"/>
      <c r="W640" s="57"/>
      <c r="X640" s="57"/>
      <c r="Y640" s="57"/>
      <c r="Z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  <c r="R641" s="57"/>
      <c r="S641" s="57"/>
      <c r="T641" s="57"/>
      <c r="U641" s="57"/>
      <c r="V641" s="57"/>
      <c r="W641" s="57"/>
      <c r="X641" s="57"/>
      <c r="Y641" s="57"/>
      <c r="Z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  <c r="R642" s="57"/>
      <c r="S642" s="57"/>
      <c r="T642" s="57"/>
      <c r="U642" s="57"/>
      <c r="V642" s="57"/>
      <c r="W642" s="57"/>
      <c r="X642" s="57"/>
      <c r="Y642" s="57"/>
      <c r="Z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  <c r="R643" s="57"/>
      <c r="S643" s="57"/>
      <c r="T643" s="57"/>
      <c r="U643" s="57"/>
      <c r="V643" s="57"/>
      <c r="W643" s="57"/>
      <c r="X643" s="57"/>
      <c r="Y643" s="57"/>
      <c r="Z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  <c r="R644" s="57"/>
      <c r="S644" s="57"/>
      <c r="T644" s="57"/>
      <c r="U644" s="57"/>
      <c r="V644" s="57"/>
      <c r="W644" s="57"/>
      <c r="X644" s="57"/>
      <c r="Y644" s="57"/>
      <c r="Z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  <c r="R645" s="57"/>
      <c r="S645" s="57"/>
      <c r="T645" s="57"/>
      <c r="U645" s="57"/>
      <c r="V645" s="57"/>
      <c r="W645" s="57"/>
      <c r="X645" s="57"/>
      <c r="Y645" s="57"/>
      <c r="Z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  <c r="R646" s="57"/>
      <c r="S646" s="57"/>
      <c r="T646" s="57"/>
      <c r="U646" s="57"/>
      <c r="V646" s="57"/>
      <c r="W646" s="57"/>
      <c r="X646" s="57"/>
      <c r="Y646" s="57"/>
      <c r="Z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  <c r="R647" s="57"/>
      <c r="S647" s="57"/>
      <c r="T647" s="57"/>
      <c r="U647" s="57"/>
      <c r="V647" s="57"/>
      <c r="W647" s="57"/>
      <c r="X647" s="57"/>
      <c r="Y647" s="57"/>
      <c r="Z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  <c r="R648" s="57"/>
      <c r="S648" s="57"/>
      <c r="T648" s="57"/>
      <c r="U648" s="57"/>
      <c r="V648" s="57"/>
      <c r="W648" s="57"/>
      <c r="X648" s="57"/>
      <c r="Y648" s="57"/>
      <c r="Z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  <c r="R649" s="57"/>
      <c r="S649" s="57"/>
      <c r="T649" s="57"/>
      <c r="U649" s="57"/>
      <c r="V649" s="57"/>
      <c r="W649" s="57"/>
      <c r="X649" s="57"/>
      <c r="Y649" s="57"/>
      <c r="Z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  <c r="R650" s="57"/>
      <c r="S650" s="57"/>
      <c r="T650" s="57"/>
      <c r="U650" s="57"/>
      <c r="V650" s="57"/>
      <c r="W650" s="57"/>
      <c r="X650" s="57"/>
      <c r="Y650" s="57"/>
      <c r="Z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  <c r="R651" s="57"/>
      <c r="S651" s="57"/>
      <c r="T651" s="57"/>
      <c r="U651" s="57"/>
      <c r="V651" s="57"/>
      <c r="W651" s="57"/>
      <c r="X651" s="57"/>
      <c r="Y651" s="57"/>
      <c r="Z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  <c r="R652" s="57"/>
      <c r="S652" s="57"/>
      <c r="T652" s="57"/>
      <c r="U652" s="57"/>
      <c r="V652" s="57"/>
      <c r="W652" s="57"/>
      <c r="X652" s="57"/>
      <c r="Y652" s="57"/>
      <c r="Z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  <c r="R653" s="57"/>
      <c r="S653" s="57"/>
      <c r="T653" s="57"/>
      <c r="U653" s="57"/>
      <c r="V653" s="57"/>
      <c r="W653" s="57"/>
      <c r="X653" s="57"/>
      <c r="Y653" s="57"/>
      <c r="Z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  <c r="R654" s="57"/>
      <c r="S654" s="57"/>
      <c r="T654" s="57"/>
      <c r="U654" s="57"/>
      <c r="V654" s="57"/>
      <c r="W654" s="57"/>
      <c r="X654" s="57"/>
      <c r="Y654" s="57"/>
      <c r="Z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  <c r="R655" s="57"/>
      <c r="S655" s="57"/>
      <c r="T655" s="57"/>
      <c r="U655" s="57"/>
      <c r="V655" s="57"/>
      <c r="W655" s="57"/>
      <c r="X655" s="57"/>
      <c r="Y655" s="57"/>
      <c r="Z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  <c r="R656" s="57"/>
      <c r="S656" s="57"/>
      <c r="T656" s="57"/>
      <c r="U656" s="57"/>
      <c r="V656" s="57"/>
      <c r="W656" s="57"/>
      <c r="X656" s="57"/>
      <c r="Y656" s="57"/>
      <c r="Z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  <c r="R657" s="57"/>
      <c r="S657" s="57"/>
      <c r="T657" s="57"/>
      <c r="U657" s="57"/>
      <c r="V657" s="57"/>
      <c r="W657" s="57"/>
      <c r="X657" s="57"/>
      <c r="Y657" s="57"/>
      <c r="Z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  <c r="R658" s="57"/>
      <c r="S658" s="57"/>
      <c r="T658" s="57"/>
      <c r="U658" s="57"/>
      <c r="V658" s="57"/>
      <c r="W658" s="57"/>
      <c r="X658" s="57"/>
      <c r="Y658" s="57"/>
      <c r="Z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  <c r="R659" s="57"/>
      <c r="S659" s="57"/>
      <c r="T659" s="57"/>
      <c r="U659" s="57"/>
      <c r="V659" s="57"/>
      <c r="W659" s="57"/>
      <c r="X659" s="57"/>
      <c r="Y659" s="57"/>
      <c r="Z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  <c r="R660" s="57"/>
      <c r="S660" s="57"/>
      <c r="T660" s="57"/>
      <c r="U660" s="57"/>
      <c r="V660" s="57"/>
      <c r="W660" s="57"/>
      <c r="X660" s="57"/>
      <c r="Y660" s="57"/>
      <c r="Z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  <c r="R661" s="57"/>
      <c r="S661" s="57"/>
      <c r="T661" s="57"/>
      <c r="U661" s="57"/>
      <c r="V661" s="57"/>
      <c r="W661" s="57"/>
      <c r="X661" s="57"/>
      <c r="Y661" s="57"/>
      <c r="Z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  <c r="R662" s="57"/>
      <c r="S662" s="57"/>
      <c r="T662" s="57"/>
      <c r="U662" s="57"/>
      <c r="V662" s="57"/>
      <c r="W662" s="57"/>
      <c r="X662" s="57"/>
      <c r="Y662" s="57"/>
      <c r="Z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  <c r="R663" s="57"/>
      <c r="S663" s="57"/>
      <c r="T663" s="57"/>
      <c r="U663" s="57"/>
      <c r="V663" s="57"/>
      <c r="W663" s="57"/>
      <c r="X663" s="57"/>
      <c r="Y663" s="57"/>
      <c r="Z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  <c r="R664" s="57"/>
      <c r="S664" s="57"/>
      <c r="T664" s="57"/>
      <c r="U664" s="57"/>
      <c r="V664" s="57"/>
      <c r="W664" s="57"/>
      <c r="X664" s="57"/>
      <c r="Y664" s="57"/>
      <c r="Z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  <c r="R665" s="57"/>
      <c r="S665" s="57"/>
      <c r="T665" s="57"/>
      <c r="U665" s="57"/>
      <c r="V665" s="57"/>
      <c r="W665" s="57"/>
      <c r="X665" s="57"/>
      <c r="Y665" s="57"/>
      <c r="Z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  <c r="R666" s="57"/>
      <c r="S666" s="57"/>
      <c r="T666" s="57"/>
      <c r="U666" s="57"/>
      <c r="V666" s="57"/>
      <c r="W666" s="57"/>
      <c r="X666" s="57"/>
      <c r="Y666" s="57"/>
      <c r="Z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  <c r="R667" s="57"/>
      <c r="S667" s="57"/>
      <c r="T667" s="57"/>
      <c r="U667" s="57"/>
      <c r="V667" s="57"/>
      <c r="W667" s="57"/>
      <c r="X667" s="57"/>
      <c r="Y667" s="57"/>
      <c r="Z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  <c r="R668" s="57"/>
      <c r="S668" s="57"/>
      <c r="T668" s="57"/>
      <c r="U668" s="57"/>
      <c r="V668" s="57"/>
      <c r="W668" s="57"/>
      <c r="X668" s="57"/>
      <c r="Y668" s="57"/>
      <c r="Z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  <c r="R670" s="57"/>
      <c r="S670" s="57"/>
      <c r="T670" s="57"/>
      <c r="U670" s="57"/>
      <c r="V670" s="57"/>
      <c r="W670" s="57"/>
      <c r="X670" s="57"/>
      <c r="Y670" s="57"/>
      <c r="Z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  <c r="R671" s="57"/>
      <c r="S671" s="57"/>
      <c r="T671" s="57"/>
      <c r="U671" s="57"/>
      <c r="V671" s="57"/>
      <c r="W671" s="57"/>
      <c r="X671" s="57"/>
      <c r="Y671" s="57"/>
      <c r="Z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  <c r="R672" s="57"/>
      <c r="S672" s="57"/>
      <c r="T672" s="57"/>
      <c r="U672" s="57"/>
      <c r="V672" s="57"/>
      <c r="W672" s="57"/>
      <c r="X672" s="57"/>
      <c r="Y672" s="57"/>
      <c r="Z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  <c r="R673" s="57"/>
      <c r="S673" s="57"/>
      <c r="T673" s="57"/>
      <c r="U673" s="57"/>
      <c r="V673" s="57"/>
      <c r="W673" s="57"/>
      <c r="X673" s="57"/>
      <c r="Y673" s="57"/>
      <c r="Z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  <c r="R674" s="57"/>
      <c r="S674" s="57"/>
      <c r="T674" s="57"/>
      <c r="U674" s="57"/>
      <c r="V674" s="57"/>
      <c r="W674" s="57"/>
      <c r="X674" s="57"/>
      <c r="Y674" s="57"/>
      <c r="Z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  <c r="R675" s="57"/>
      <c r="S675" s="57"/>
      <c r="T675" s="57"/>
      <c r="U675" s="57"/>
      <c r="V675" s="57"/>
      <c r="W675" s="57"/>
      <c r="X675" s="57"/>
      <c r="Y675" s="57"/>
      <c r="Z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  <c r="R676" s="57"/>
      <c r="S676" s="57"/>
      <c r="T676" s="57"/>
      <c r="U676" s="57"/>
      <c r="V676" s="57"/>
      <c r="W676" s="57"/>
      <c r="X676" s="57"/>
      <c r="Y676" s="57"/>
      <c r="Z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  <c r="R677" s="57"/>
      <c r="S677" s="57"/>
      <c r="T677" s="57"/>
      <c r="U677" s="57"/>
      <c r="V677" s="57"/>
      <c r="W677" s="57"/>
      <c r="X677" s="57"/>
      <c r="Y677" s="57"/>
      <c r="Z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  <c r="R678" s="57"/>
      <c r="S678" s="57"/>
      <c r="T678" s="57"/>
      <c r="U678" s="57"/>
      <c r="V678" s="57"/>
      <c r="W678" s="57"/>
      <c r="X678" s="57"/>
      <c r="Y678" s="57"/>
      <c r="Z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  <c r="R679" s="57"/>
      <c r="S679" s="57"/>
      <c r="T679" s="57"/>
      <c r="U679" s="57"/>
      <c r="V679" s="57"/>
      <c r="W679" s="57"/>
      <c r="X679" s="57"/>
      <c r="Y679" s="57"/>
      <c r="Z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  <c r="R680" s="57"/>
      <c r="S680" s="57"/>
      <c r="T680" s="57"/>
      <c r="U680" s="57"/>
      <c r="V680" s="57"/>
      <c r="W680" s="57"/>
      <c r="X680" s="57"/>
      <c r="Y680" s="57"/>
      <c r="Z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  <c r="R681" s="57"/>
      <c r="S681" s="57"/>
      <c r="T681" s="57"/>
      <c r="U681" s="57"/>
      <c r="V681" s="57"/>
      <c r="W681" s="57"/>
      <c r="X681" s="57"/>
      <c r="Y681" s="57"/>
      <c r="Z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  <c r="R682" s="57"/>
      <c r="S682" s="57"/>
      <c r="T682" s="57"/>
      <c r="U682" s="57"/>
      <c r="V682" s="57"/>
      <c r="W682" s="57"/>
      <c r="X682" s="57"/>
      <c r="Y682" s="57"/>
      <c r="Z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  <c r="R683" s="57"/>
      <c r="S683" s="57"/>
      <c r="T683" s="57"/>
      <c r="U683" s="57"/>
      <c r="V683" s="57"/>
      <c r="W683" s="57"/>
      <c r="X683" s="57"/>
      <c r="Y683" s="57"/>
      <c r="Z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  <c r="R684" s="57"/>
      <c r="S684" s="57"/>
      <c r="T684" s="57"/>
      <c r="U684" s="57"/>
      <c r="V684" s="57"/>
      <c r="W684" s="57"/>
      <c r="X684" s="57"/>
      <c r="Y684" s="57"/>
      <c r="Z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  <c r="R685" s="57"/>
      <c r="S685" s="57"/>
      <c r="T685" s="57"/>
      <c r="U685" s="57"/>
      <c r="V685" s="57"/>
      <c r="W685" s="57"/>
      <c r="X685" s="57"/>
      <c r="Y685" s="57"/>
      <c r="Z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  <c r="R686" s="57"/>
      <c r="S686" s="57"/>
      <c r="T686" s="57"/>
      <c r="U686" s="57"/>
      <c r="V686" s="57"/>
      <c r="W686" s="57"/>
      <c r="X686" s="57"/>
      <c r="Y686" s="57"/>
      <c r="Z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  <c r="R687" s="57"/>
      <c r="S687" s="57"/>
      <c r="T687" s="57"/>
      <c r="U687" s="57"/>
      <c r="V687" s="57"/>
      <c r="W687" s="57"/>
      <c r="X687" s="57"/>
      <c r="Y687" s="57"/>
      <c r="Z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  <c r="R688" s="57"/>
      <c r="S688" s="57"/>
      <c r="T688" s="57"/>
      <c r="U688" s="57"/>
      <c r="V688" s="57"/>
      <c r="W688" s="57"/>
      <c r="X688" s="57"/>
      <c r="Y688" s="57"/>
      <c r="Z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  <c r="R689" s="57"/>
      <c r="S689" s="57"/>
      <c r="T689" s="57"/>
      <c r="U689" s="57"/>
      <c r="V689" s="57"/>
      <c r="W689" s="57"/>
      <c r="X689" s="57"/>
      <c r="Y689" s="57"/>
      <c r="Z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  <c r="R690" s="57"/>
      <c r="S690" s="57"/>
      <c r="T690" s="57"/>
      <c r="U690" s="57"/>
      <c r="V690" s="57"/>
      <c r="W690" s="57"/>
      <c r="X690" s="57"/>
      <c r="Y690" s="57"/>
      <c r="Z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  <c r="R691" s="57"/>
      <c r="S691" s="57"/>
      <c r="T691" s="57"/>
      <c r="U691" s="57"/>
      <c r="V691" s="57"/>
      <c r="W691" s="57"/>
      <c r="X691" s="57"/>
      <c r="Y691" s="57"/>
      <c r="Z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  <c r="R692" s="57"/>
      <c r="S692" s="57"/>
      <c r="T692" s="57"/>
      <c r="U692" s="57"/>
      <c r="V692" s="57"/>
      <c r="W692" s="57"/>
      <c r="X692" s="57"/>
      <c r="Y692" s="57"/>
      <c r="Z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  <c r="R693" s="57"/>
      <c r="S693" s="57"/>
      <c r="T693" s="57"/>
      <c r="U693" s="57"/>
      <c r="V693" s="57"/>
      <c r="W693" s="57"/>
      <c r="X693" s="57"/>
      <c r="Y693" s="57"/>
      <c r="Z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  <c r="R694" s="57"/>
      <c r="S694" s="57"/>
      <c r="T694" s="57"/>
      <c r="U694" s="57"/>
      <c r="V694" s="57"/>
      <c r="W694" s="57"/>
      <c r="X694" s="57"/>
      <c r="Y694" s="57"/>
      <c r="Z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  <c r="R695" s="57"/>
      <c r="S695" s="57"/>
      <c r="T695" s="57"/>
      <c r="U695" s="57"/>
      <c r="V695" s="57"/>
      <c r="W695" s="57"/>
      <c r="X695" s="57"/>
      <c r="Y695" s="57"/>
      <c r="Z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  <c r="R696" s="57"/>
      <c r="S696" s="57"/>
      <c r="T696" s="57"/>
      <c r="U696" s="57"/>
      <c r="V696" s="57"/>
      <c r="W696" s="57"/>
      <c r="X696" s="57"/>
      <c r="Y696" s="57"/>
      <c r="Z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  <c r="R697" s="57"/>
      <c r="S697" s="57"/>
      <c r="T697" s="57"/>
      <c r="U697" s="57"/>
      <c r="V697" s="57"/>
      <c r="W697" s="57"/>
      <c r="X697" s="57"/>
      <c r="Y697" s="57"/>
      <c r="Z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  <c r="R698" s="57"/>
      <c r="S698" s="57"/>
      <c r="T698" s="57"/>
      <c r="U698" s="57"/>
      <c r="V698" s="57"/>
      <c r="W698" s="57"/>
      <c r="X698" s="57"/>
      <c r="Y698" s="57"/>
      <c r="Z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  <c r="R699" s="57"/>
      <c r="S699" s="57"/>
      <c r="T699" s="57"/>
      <c r="U699" s="57"/>
      <c r="V699" s="57"/>
      <c r="W699" s="57"/>
      <c r="X699" s="57"/>
      <c r="Y699" s="57"/>
      <c r="Z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  <c r="R700" s="57"/>
      <c r="S700" s="57"/>
      <c r="T700" s="57"/>
      <c r="U700" s="57"/>
      <c r="V700" s="57"/>
      <c r="W700" s="57"/>
      <c r="X700" s="57"/>
      <c r="Y700" s="57"/>
      <c r="Z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  <c r="R701" s="57"/>
      <c r="S701" s="57"/>
      <c r="T701" s="57"/>
      <c r="U701" s="57"/>
      <c r="V701" s="57"/>
      <c r="W701" s="57"/>
      <c r="X701" s="57"/>
      <c r="Y701" s="57"/>
      <c r="Z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  <c r="R702" s="57"/>
      <c r="S702" s="57"/>
      <c r="T702" s="57"/>
      <c r="U702" s="57"/>
      <c r="V702" s="57"/>
      <c r="W702" s="57"/>
      <c r="X702" s="57"/>
      <c r="Y702" s="57"/>
      <c r="Z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  <c r="R703" s="57"/>
      <c r="S703" s="57"/>
      <c r="T703" s="57"/>
      <c r="U703" s="57"/>
      <c r="V703" s="57"/>
      <c r="W703" s="57"/>
      <c r="X703" s="57"/>
      <c r="Y703" s="57"/>
      <c r="Z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  <c r="R704" s="57"/>
      <c r="S704" s="57"/>
      <c r="T704" s="57"/>
      <c r="U704" s="57"/>
      <c r="V704" s="57"/>
      <c r="W704" s="57"/>
      <c r="X704" s="57"/>
      <c r="Y704" s="57"/>
      <c r="Z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  <c r="R705" s="57"/>
      <c r="S705" s="57"/>
      <c r="T705" s="57"/>
      <c r="U705" s="57"/>
      <c r="V705" s="57"/>
      <c r="W705" s="57"/>
      <c r="X705" s="57"/>
      <c r="Y705" s="57"/>
      <c r="Z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  <c r="R706" s="57"/>
      <c r="S706" s="57"/>
      <c r="T706" s="57"/>
      <c r="U706" s="57"/>
      <c r="V706" s="57"/>
      <c r="W706" s="57"/>
      <c r="X706" s="57"/>
      <c r="Y706" s="57"/>
      <c r="Z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  <c r="R708" s="57"/>
      <c r="S708" s="57"/>
      <c r="T708" s="57"/>
      <c r="U708" s="57"/>
      <c r="V708" s="57"/>
      <c r="W708" s="57"/>
      <c r="X708" s="57"/>
      <c r="Y708" s="57"/>
      <c r="Z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  <c r="R709" s="57"/>
      <c r="S709" s="57"/>
      <c r="T709" s="57"/>
      <c r="U709" s="57"/>
      <c r="V709" s="57"/>
      <c r="W709" s="57"/>
      <c r="X709" s="57"/>
      <c r="Y709" s="57"/>
      <c r="Z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  <c r="R710" s="57"/>
      <c r="S710" s="57"/>
      <c r="T710" s="57"/>
      <c r="U710" s="57"/>
      <c r="V710" s="57"/>
      <c r="W710" s="57"/>
      <c r="X710" s="57"/>
      <c r="Y710" s="57"/>
      <c r="Z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  <c r="R711" s="57"/>
      <c r="S711" s="57"/>
      <c r="T711" s="57"/>
      <c r="U711" s="57"/>
      <c r="V711" s="57"/>
      <c r="W711" s="57"/>
      <c r="X711" s="57"/>
      <c r="Y711" s="57"/>
      <c r="Z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  <c r="R712" s="57"/>
      <c r="S712" s="57"/>
      <c r="T712" s="57"/>
      <c r="U712" s="57"/>
      <c r="V712" s="57"/>
      <c r="W712" s="57"/>
      <c r="X712" s="57"/>
      <c r="Y712" s="57"/>
      <c r="Z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  <c r="R713" s="57"/>
      <c r="S713" s="57"/>
      <c r="T713" s="57"/>
      <c r="U713" s="57"/>
      <c r="V713" s="57"/>
      <c r="W713" s="57"/>
      <c r="X713" s="57"/>
      <c r="Y713" s="57"/>
      <c r="Z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  <c r="R714" s="57"/>
      <c r="S714" s="57"/>
      <c r="T714" s="57"/>
      <c r="U714" s="57"/>
      <c r="V714" s="57"/>
      <c r="W714" s="57"/>
      <c r="X714" s="57"/>
      <c r="Y714" s="57"/>
      <c r="Z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  <c r="R715" s="57"/>
      <c r="S715" s="57"/>
      <c r="T715" s="57"/>
      <c r="U715" s="57"/>
      <c r="V715" s="57"/>
      <c r="W715" s="57"/>
      <c r="X715" s="57"/>
      <c r="Y715" s="57"/>
      <c r="Z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  <c r="R716" s="57"/>
      <c r="S716" s="57"/>
      <c r="T716" s="57"/>
      <c r="U716" s="57"/>
      <c r="V716" s="57"/>
      <c r="W716" s="57"/>
      <c r="X716" s="57"/>
      <c r="Y716" s="57"/>
      <c r="Z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  <c r="R717" s="57"/>
      <c r="S717" s="57"/>
      <c r="T717" s="57"/>
      <c r="U717" s="57"/>
      <c r="V717" s="57"/>
      <c r="W717" s="57"/>
      <c r="X717" s="57"/>
      <c r="Y717" s="57"/>
      <c r="Z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  <c r="R718" s="57"/>
      <c r="S718" s="57"/>
      <c r="T718" s="57"/>
      <c r="U718" s="57"/>
      <c r="V718" s="57"/>
      <c r="W718" s="57"/>
      <c r="X718" s="57"/>
      <c r="Y718" s="57"/>
      <c r="Z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  <c r="R719" s="57"/>
      <c r="S719" s="57"/>
      <c r="T719" s="57"/>
      <c r="U719" s="57"/>
      <c r="V719" s="57"/>
      <c r="W719" s="57"/>
      <c r="X719" s="57"/>
      <c r="Y719" s="57"/>
      <c r="Z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  <c r="R720" s="57"/>
      <c r="S720" s="57"/>
      <c r="T720" s="57"/>
      <c r="U720" s="57"/>
      <c r="V720" s="57"/>
      <c r="W720" s="57"/>
      <c r="X720" s="57"/>
      <c r="Y720" s="57"/>
      <c r="Z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  <c r="R721" s="57"/>
      <c r="S721" s="57"/>
      <c r="T721" s="57"/>
      <c r="U721" s="57"/>
      <c r="V721" s="57"/>
      <c r="W721" s="57"/>
      <c r="X721" s="57"/>
      <c r="Y721" s="57"/>
      <c r="Z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  <c r="R722" s="57"/>
      <c r="S722" s="57"/>
      <c r="T722" s="57"/>
      <c r="U722" s="57"/>
      <c r="V722" s="57"/>
      <c r="W722" s="57"/>
      <c r="X722" s="57"/>
      <c r="Y722" s="57"/>
      <c r="Z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  <c r="R723" s="57"/>
      <c r="S723" s="57"/>
      <c r="T723" s="57"/>
      <c r="U723" s="57"/>
      <c r="V723" s="57"/>
      <c r="W723" s="57"/>
      <c r="X723" s="57"/>
      <c r="Y723" s="57"/>
      <c r="Z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  <c r="R724" s="57"/>
      <c r="S724" s="57"/>
      <c r="T724" s="57"/>
      <c r="U724" s="57"/>
      <c r="V724" s="57"/>
      <c r="W724" s="57"/>
      <c r="X724" s="57"/>
      <c r="Y724" s="57"/>
      <c r="Z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  <c r="R725" s="57"/>
      <c r="S725" s="57"/>
      <c r="T725" s="57"/>
      <c r="U725" s="57"/>
      <c r="V725" s="57"/>
      <c r="W725" s="57"/>
      <c r="X725" s="57"/>
      <c r="Y725" s="57"/>
      <c r="Z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  <c r="R726" s="57"/>
      <c r="S726" s="57"/>
      <c r="T726" s="57"/>
      <c r="U726" s="57"/>
      <c r="V726" s="57"/>
      <c r="W726" s="57"/>
      <c r="X726" s="57"/>
      <c r="Y726" s="57"/>
      <c r="Z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  <c r="R727" s="57"/>
      <c r="S727" s="57"/>
      <c r="T727" s="57"/>
      <c r="U727" s="57"/>
      <c r="V727" s="57"/>
      <c r="W727" s="57"/>
      <c r="X727" s="57"/>
      <c r="Y727" s="57"/>
      <c r="Z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  <c r="R728" s="57"/>
      <c r="S728" s="57"/>
      <c r="T728" s="57"/>
      <c r="U728" s="57"/>
      <c r="V728" s="57"/>
      <c r="W728" s="57"/>
      <c r="X728" s="57"/>
      <c r="Y728" s="57"/>
      <c r="Z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  <c r="R729" s="57"/>
      <c r="S729" s="57"/>
      <c r="T729" s="57"/>
      <c r="U729" s="57"/>
      <c r="V729" s="57"/>
      <c r="W729" s="57"/>
      <c r="X729" s="57"/>
      <c r="Y729" s="57"/>
      <c r="Z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  <c r="R730" s="57"/>
      <c r="S730" s="57"/>
      <c r="T730" s="57"/>
      <c r="U730" s="57"/>
      <c r="V730" s="57"/>
      <c r="W730" s="57"/>
      <c r="X730" s="57"/>
      <c r="Y730" s="57"/>
      <c r="Z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  <c r="R731" s="57"/>
      <c r="S731" s="57"/>
      <c r="T731" s="57"/>
      <c r="U731" s="57"/>
      <c r="V731" s="57"/>
      <c r="W731" s="57"/>
      <c r="X731" s="57"/>
      <c r="Y731" s="57"/>
      <c r="Z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  <c r="R732" s="57"/>
      <c r="S732" s="57"/>
      <c r="T732" s="57"/>
      <c r="U732" s="57"/>
      <c r="V732" s="57"/>
      <c r="W732" s="57"/>
      <c r="X732" s="57"/>
      <c r="Y732" s="57"/>
      <c r="Z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  <c r="R733" s="57"/>
      <c r="S733" s="57"/>
      <c r="T733" s="57"/>
      <c r="U733" s="57"/>
      <c r="V733" s="57"/>
      <c r="W733" s="57"/>
      <c r="X733" s="57"/>
      <c r="Y733" s="57"/>
      <c r="Z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  <c r="R734" s="57"/>
      <c r="S734" s="57"/>
      <c r="T734" s="57"/>
      <c r="U734" s="57"/>
      <c r="V734" s="57"/>
      <c r="W734" s="57"/>
      <c r="X734" s="57"/>
      <c r="Y734" s="57"/>
      <c r="Z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  <c r="R735" s="57"/>
      <c r="S735" s="57"/>
      <c r="T735" s="57"/>
      <c r="U735" s="57"/>
      <c r="V735" s="57"/>
      <c r="W735" s="57"/>
      <c r="X735" s="57"/>
      <c r="Y735" s="57"/>
      <c r="Z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  <c r="R736" s="57"/>
      <c r="S736" s="57"/>
      <c r="T736" s="57"/>
      <c r="U736" s="57"/>
      <c r="V736" s="57"/>
      <c r="W736" s="57"/>
      <c r="X736" s="57"/>
      <c r="Y736" s="57"/>
      <c r="Z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  <c r="R737" s="57"/>
      <c r="S737" s="57"/>
      <c r="T737" s="57"/>
      <c r="U737" s="57"/>
      <c r="V737" s="57"/>
      <c r="W737" s="57"/>
      <c r="X737" s="57"/>
      <c r="Y737" s="57"/>
      <c r="Z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  <c r="R738" s="57"/>
      <c r="S738" s="57"/>
      <c r="T738" s="57"/>
      <c r="U738" s="57"/>
      <c r="V738" s="57"/>
      <c r="W738" s="57"/>
      <c r="X738" s="57"/>
      <c r="Y738" s="57"/>
      <c r="Z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  <c r="R739" s="57"/>
      <c r="S739" s="57"/>
      <c r="T739" s="57"/>
      <c r="U739" s="57"/>
      <c r="V739" s="57"/>
      <c r="W739" s="57"/>
      <c r="X739" s="57"/>
      <c r="Y739" s="57"/>
      <c r="Z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  <c r="R740" s="57"/>
      <c r="S740" s="57"/>
      <c r="T740" s="57"/>
      <c r="U740" s="57"/>
      <c r="V740" s="57"/>
      <c r="W740" s="57"/>
      <c r="X740" s="57"/>
      <c r="Y740" s="57"/>
      <c r="Z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  <c r="R741" s="57"/>
      <c r="S741" s="57"/>
      <c r="T741" s="57"/>
      <c r="U741" s="57"/>
      <c r="V741" s="57"/>
      <c r="W741" s="57"/>
      <c r="X741" s="57"/>
      <c r="Y741" s="57"/>
      <c r="Z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  <c r="R742" s="57"/>
      <c r="S742" s="57"/>
      <c r="T742" s="57"/>
      <c r="U742" s="57"/>
      <c r="V742" s="57"/>
      <c r="W742" s="57"/>
      <c r="X742" s="57"/>
      <c r="Y742" s="57"/>
      <c r="Z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  <c r="R743" s="57"/>
      <c r="S743" s="57"/>
      <c r="T743" s="57"/>
      <c r="U743" s="57"/>
      <c r="V743" s="57"/>
      <c r="W743" s="57"/>
      <c r="X743" s="57"/>
      <c r="Y743" s="57"/>
      <c r="Z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  <c r="R744" s="57"/>
      <c r="S744" s="57"/>
      <c r="T744" s="57"/>
      <c r="U744" s="57"/>
      <c r="V744" s="57"/>
      <c r="W744" s="57"/>
      <c r="X744" s="57"/>
      <c r="Y744" s="57"/>
      <c r="Z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  <c r="R746" s="57"/>
      <c r="S746" s="57"/>
      <c r="T746" s="57"/>
      <c r="U746" s="57"/>
      <c r="V746" s="57"/>
      <c r="W746" s="57"/>
      <c r="X746" s="57"/>
      <c r="Y746" s="57"/>
      <c r="Z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  <c r="R747" s="57"/>
      <c r="S747" s="57"/>
      <c r="T747" s="57"/>
      <c r="U747" s="57"/>
      <c r="V747" s="57"/>
      <c r="W747" s="57"/>
      <c r="X747" s="57"/>
      <c r="Y747" s="57"/>
      <c r="Z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  <c r="R748" s="57"/>
      <c r="S748" s="57"/>
      <c r="T748" s="57"/>
      <c r="U748" s="57"/>
      <c r="V748" s="57"/>
      <c r="W748" s="57"/>
      <c r="X748" s="57"/>
      <c r="Y748" s="57"/>
      <c r="Z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  <c r="R749" s="57"/>
      <c r="S749" s="57"/>
      <c r="T749" s="57"/>
      <c r="U749" s="57"/>
      <c r="V749" s="57"/>
      <c r="W749" s="57"/>
      <c r="X749" s="57"/>
      <c r="Y749" s="57"/>
      <c r="Z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  <c r="R750" s="57"/>
      <c r="S750" s="57"/>
      <c r="T750" s="57"/>
      <c r="U750" s="57"/>
      <c r="V750" s="57"/>
      <c r="W750" s="57"/>
      <c r="X750" s="57"/>
      <c r="Y750" s="57"/>
      <c r="Z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  <c r="R751" s="57"/>
      <c r="S751" s="57"/>
      <c r="T751" s="57"/>
      <c r="U751" s="57"/>
      <c r="V751" s="57"/>
      <c r="W751" s="57"/>
      <c r="X751" s="57"/>
      <c r="Y751" s="57"/>
      <c r="Z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  <c r="R752" s="57"/>
      <c r="S752" s="57"/>
      <c r="T752" s="57"/>
      <c r="U752" s="57"/>
      <c r="V752" s="57"/>
      <c r="W752" s="57"/>
      <c r="X752" s="57"/>
      <c r="Y752" s="57"/>
      <c r="Z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  <c r="R753" s="57"/>
      <c r="S753" s="57"/>
      <c r="T753" s="57"/>
      <c r="U753" s="57"/>
      <c r="V753" s="57"/>
      <c r="W753" s="57"/>
      <c r="X753" s="57"/>
      <c r="Y753" s="57"/>
      <c r="Z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  <c r="R754" s="57"/>
      <c r="S754" s="57"/>
      <c r="T754" s="57"/>
      <c r="U754" s="57"/>
      <c r="V754" s="57"/>
      <c r="W754" s="57"/>
      <c r="X754" s="57"/>
      <c r="Y754" s="57"/>
      <c r="Z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  <c r="R755" s="57"/>
      <c r="S755" s="57"/>
      <c r="T755" s="57"/>
      <c r="U755" s="57"/>
      <c r="V755" s="57"/>
      <c r="W755" s="57"/>
      <c r="X755" s="57"/>
      <c r="Y755" s="57"/>
      <c r="Z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  <c r="R756" s="57"/>
      <c r="S756" s="57"/>
      <c r="T756" s="57"/>
      <c r="U756" s="57"/>
      <c r="V756" s="57"/>
      <c r="W756" s="57"/>
      <c r="X756" s="57"/>
      <c r="Y756" s="57"/>
      <c r="Z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  <c r="R757" s="57"/>
      <c r="S757" s="57"/>
      <c r="T757" s="57"/>
      <c r="U757" s="57"/>
      <c r="V757" s="57"/>
      <c r="W757" s="57"/>
      <c r="X757" s="57"/>
      <c r="Y757" s="57"/>
      <c r="Z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  <c r="R758" s="57"/>
      <c r="S758" s="57"/>
      <c r="T758" s="57"/>
      <c r="U758" s="57"/>
      <c r="V758" s="57"/>
      <c r="W758" s="57"/>
      <c r="X758" s="57"/>
      <c r="Y758" s="57"/>
      <c r="Z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  <c r="R759" s="57"/>
      <c r="S759" s="57"/>
      <c r="T759" s="57"/>
      <c r="U759" s="57"/>
      <c r="V759" s="57"/>
      <c r="W759" s="57"/>
      <c r="X759" s="57"/>
      <c r="Y759" s="57"/>
      <c r="Z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  <c r="R760" s="57"/>
      <c r="S760" s="57"/>
      <c r="T760" s="57"/>
      <c r="U760" s="57"/>
      <c r="V760" s="57"/>
      <c r="W760" s="57"/>
      <c r="X760" s="57"/>
      <c r="Y760" s="57"/>
      <c r="Z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  <c r="R761" s="57"/>
      <c r="S761" s="57"/>
      <c r="T761" s="57"/>
      <c r="U761" s="57"/>
      <c r="V761" s="57"/>
      <c r="W761" s="57"/>
      <c r="X761" s="57"/>
      <c r="Y761" s="57"/>
      <c r="Z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  <c r="R762" s="57"/>
      <c r="S762" s="57"/>
      <c r="T762" s="57"/>
      <c r="U762" s="57"/>
      <c r="V762" s="57"/>
      <c r="W762" s="57"/>
      <c r="X762" s="57"/>
      <c r="Y762" s="57"/>
      <c r="Z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  <c r="R763" s="57"/>
      <c r="S763" s="57"/>
      <c r="T763" s="57"/>
      <c r="U763" s="57"/>
      <c r="V763" s="57"/>
      <c r="W763" s="57"/>
      <c r="X763" s="57"/>
      <c r="Y763" s="57"/>
      <c r="Z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  <c r="R764" s="57"/>
      <c r="S764" s="57"/>
      <c r="T764" s="57"/>
      <c r="U764" s="57"/>
      <c r="V764" s="57"/>
      <c r="W764" s="57"/>
      <c r="X764" s="57"/>
      <c r="Y764" s="57"/>
      <c r="Z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  <c r="R765" s="57"/>
      <c r="S765" s="57"/>
      <c r="T765" s="57"/>
      <c r="U765" s="57"/>
      <c r="V765" s="57"/>
      <c r="W765" s="57"/>
      <c r="X765" s="57"/>
      <c r="Y765" s="57"/>
      <c r="Z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  <c r="R766" s="57"/>
      <c r="S766" s="57"/>
      <c r="T766" s="57"/>
      <c r="U766" s="57"/>
      <c r="V766" s="57"/>
      <c r="W766" s="57"/>
      <c r="X766" s="57"/>
      <c r="Y766" s="57"/>
      <c r="Z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  <c r="R767" s="57"/>
      <c r="S767" s="57"/>
      <c r="T767" s="57"/>
      <c r="U767" s="57"/>
      <c r="V767" s="57"/>
      <c r="W767" s="57"/>
      <c r="X767" s="57"/>
      <c r="Y767" s="57"/>
      <c r="Z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  <c r="R768" s="57"/>
      <c r="S768" s="57"/>
      <c r="T768" s="57"/>
      <c r="U768" s="57"/>
      <c r="V768" s="57"/>
      <c r="W768" s="57"/>
      <c r="X768" s="57"/>
      <c r="Y768" s="57"/>
      <c r="Z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  <c r="R769" s="57"/>
      <c r="S769" s="57"/>
      <c r="T769" s="57"/>
      <c r="U769" s="57"/>
      <c r="V769" s="57"/>
      <c r="W769" s="57"/>
      <c r="X769" s="57"/>
      <c r="Y769" s="57"/>
      <c r="Z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  <c r="R770" s="57"/>
      <c r="S770" s="57"/>
      <c r="T770" s="57"/>
      <c r="U770" s="57"/>
      <c r="V770" s="57"/>
      <c r="W770" s="57"/>
      <c r="X770" s="57"/>
      <c r="Y770" s="57"/>
      <c r="Z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  <c r="R771" s="57"/>
      <c r="S771" s="57"/>
      <c r="T771" s="57"/>
      <c r="U771" s="57"/>
      <c r="V771" s="57"/>
      <c r="W771" s="57"/>
      <c r="X771" s="57"/>
      <c r="Y771" s="57"/>
      <c r="Z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  <c r="R772" s="57"/>
      <c r="S772" s="57"/>
      <c r="T772" s="57"/>
      <c r="U772" s="57"/>
      <c r="V772" s="57"/>
      <c r="W772" s="57"/>
      <c r="X772" s="57"/>
      <c r="Y772" s="57"/>
      <c r="Z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  <c r="R773" s="57"/>
      <c r="S773" s="57"/>
      <c r="T773" s="57"/>
      <c r="U773" s="57"/>
      <c r="V773" s="57"/>
      <c r="W773" s="57"/>
      <c r="X773" s="57"/>
      <c r="Y773" s="57"/>
      <c r="Z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  <c r="R774" s="57"/>
      <c r="S774" s="57"/>
      <c r="T774" s="57"/>
      <c r="U774" s="57"/>
      <c r="V774" s="57"/>
      <c r="W774" s="57"/>
      <c r="X774" s="57"/>
      <c r="Y774" s="57"/>
      <c r="Z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  <c r="R775" s="57"/>
      <c r="S775" s="57"/>
      <c r="T775" s="57"/>
      <c r="U775" s="57"/>
      <c r="V775" s="57"/>
      <c r="W775" s="57"/>
      <c r="X775" s="57"/>
      <c r="Y775" s="57"/>
      <c r="Z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  <c r="R776" s="57"/>
      <c r="S776" s="57"/>
      <c r="T776" s="57"/>
      <c r="U776" s="57"/>
      <c r="V776" s="57"/>
      <c r="W776" s="57"/>
      <c r="X776" s="57"/>
      <c r="Y776" s="57"/>
      <c r="Z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  <c r="R777" s="57"/>
      <c r="S777" s="57"/>
      <c r="T777" s="57"/>
      <c r="U777" s="57"/>
      <c r="V777" s="57"/>
      <c r="W777" s="57"/>
      <c r="X777" s="57"/>
      <c r="Y777" s="57"/>
      <c r="Z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  <c r="R778" s="57"/>
      <c r="S778" s="57"/>
      <c r="T778" s="57"/>
      <c r="U778" s="57"/>
      <c r="V778" s="57"/>
      <c r="W778" s="57"/>
      <c r="X778" s="57"/>
      <c r="Y778" s="57"/>
      <c r="Z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  <c r="R779" s="57"/>
      <c r="S779" s="57"/>
      <c r="T779" s="57"/>
      <c r="U779" s="57"/>
      <c r="V779" s="57"/>
      <c r="W779" s="57"/>
      <c r="X779" s="57"/>
      <c r="Y779" s="57"/>
      <c r="Z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  <c r="R780" s="57"/>
      <c r="S780" s="57"/>
      <c r="T780" s="57"/>
      <c r="U780" s="57"/>
      <c r="V780" s="57"/>
      <c r="W780" s="57"/>
      <c r="X780" s="57"/>
      <c r="Y780" s="57"/>
      <c r="Z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  <c r="R781" s="57"/>
      <c r="S781" s="57"/>
      <c r="T781" s="57"/>
      <c r="U781" s="57"/>
      <c r="V781" s="57"/>
      <c r="W781" s="57"/>
      <c r="X781" s="57"/>
      <c r="Y781" s="57"/>
      <c r="Z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  <c r="R782" s="57"/>
      <c r="S782" s="57"/>
      <c r="T782" s="57"/>
      <c r="U782" s="57"/>
      <c r="V782" s="57"/>
      <c r="W782" s="57"/>
      <c r="X782" s="57"/>
      <c r="Y782" s="57"/>
      <c r="Z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  <c r="R784" s="57"/>
      <c r="S784" s="57"/>
      <c r="T784" s="57"/>
      <c r="U784" s="57"/>
      <c r="V784" s="57"/>
      <c r="W784" s="57"/>
      <c r="X784" s="57"/>
      <c r="Y784" s="57"/>
      <c r="Z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  <c r="R785" s="57"/>
      <c r="S785" s="57"/>
      <c r="T785" s="57"/>
      <c r="U785" s="57"/>
      <c r="V785" s="57"/>
      <c r="W785" s="57"/>
      <c r="X785" s="57"/>
      <c r="Y785" s="57"/>
      <c r="Z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  <c r="R786" s="57"/>
      <c r="S786" s="57"/>
      <c r="T786" s="57"/>
      <c r="U786" s="57"/>
      <c r="V786" s="57"/>
      <c r="W786" s="57"/>
      <c r="X786" s="57"/>
      <c r="Y786" s="57"/>
      <c r="Z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  <c r="R787" s="57"/>
      <c r="S787" s="57"/>
      <c r="T787" s="57"/>
      <c r="U787" s="57"/>
      <c r="V787" s="57"/>
      <c r="W787" s="57"/>
      <c r="X787" s="57"/>
      <c r="Y787" s="57"/>
      <c r="Z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  <c r="R788" s="57"/>
      <c r="S788" s="57"/>
      <c r="T788" s="57"/>
      <c r="U788" s="57"/>
      <c r="V788" s="57"/>
      <c r="W788" s="57"/>
      <c r="X788" s="57"/>
      <c r="Y788" s="57"/>
      <c r="Z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  <c r="R789" s="57"/>
      <c r="S789" s="57"/>
      <c r="T789" s="57"/>
      <c r="U789" s="57"/>
      <c r="V789" s="57"/>
      <c r="W789" s="57"/>
      <c r="X789" s="57"/>
      <c r="Y789" s="57"/>
      <c r="Z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  <c r="R790" s="57"/>
      <c r="S790" s="57"/>
      <c r="T790" s="57"/>
      <c r="U790" s="57"/>
      <c r="V790" s="57"/>
      <c r="W790" s="57"/>
      <c r="X790" s="57"/>
      <c r="Y790" s="57"/>
      <c r="Z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  <c r="R791" s="57"/>
      <c r="S791" s="57"/>
      <c r="T791" s="57"/>
      <c r="U791" s="57"/>
      <c r="V791" s="57"/>
      <c r="W791" s="57"/>
      <c r="X791" s="57"/>
      <c r="Y791" s="57"/>
      <c r="Z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  <c r="R792" s="57"/>
      <c r="S792" s="57"/>
      <c r="T792" s="57"/>
      <c r="U792" s="57"/>
      <c r="V792" s="57"/>
      <c r="W792" s="57"/>
      <c r="X792" s="57"/>
      <c r="Y792" s="57"/>
      <c r="Z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  <c r="R793" s="57"/>
      <c r="S793" s="57"/>
      <c r="T793" s="57"/>
      <c r="U793" s="57"/>
      <c r="V793" s="57"/>
      <c r="W793" s="57"/>
      <c r="X793" s="57"/>
      <c r="Y793" s="57"/>
      <c r="Z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  <c r="R794" s="57"/>
      <c r="S794" s="57"/>
      <c r="T794" s="57"/>
      <c r="U794" s="57"/>
      <c r="V794" s="57"/>
      <c r="W794" s="57"/>
      <c r="X794" s="57"/>
      <c r="Y794" s="57"/>
      <c r="Z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  <c r="R795" s="57"/>
      <c r="S795" s="57"/>
      <c r="T795" s="57"/>
      <c r="U795" s="57"/>
      <c r="V795" s="57"/>
      <c r="W795" s="57"/>
      <c r="X795" s="57"/>
      <c r="Y795" s="57"/>
      <c r="Z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  <c r="R796" s="57"/>
      <c r="S796" s="57"/>
      <c r="T796" s="57"/>
      <c r="U796" s="57"/>
      <c r="V796" s="57"/>
      <c r="W796" s="57"/>
      <c r="X796" s="57"/>
      <c r="Y796" s="57"/>
      <c r="Z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  <c r="R797" s="57"/>
      <c r="S797" s="57"/>
      <c r="T797" s="57"/>
      <c r="U797" s="57"/>
      <c r="V797" s="57"/>
      <c r="W797" s="57"/>
      <c r="X797" s="57"/>
      <c r="Y797" s="57"/>
      <c r="Z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  <c r="R798" s="57"/>
      <c r="S798" s="57"/>
      <c r="T798" s="57"/>
      <c r="U798" s="57"/>
      <c r="V798" s="57"/>
      <c r="W798" s="57"/>
      <c r="X798" s="57"/>
      <c r="Y798" s="57"/>
      <c r="Z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  <c r="R799" s="57"/>
      <c r="S799" s="57"/>
      <c r="T799" s="57"/>
      <c r="U799" s="57"/>
      <c r="V799" s="57"/>
      <c r="W799" s="57"/>
      <c r="X799" s="57"/>
      <c r="Y799" s="57"/>
      <c r="Z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  <c r="R800" s="57"/>
      <c r="S800" s="57"/>
      <c r="T800" s="57"/>
      <c r="U800" s="57"/>
      <c r="V800" s="57"/>
      <c r="W800" s="57"/>
      <c r="X800" s="57"/>
      <c r="Y800" s="57"/>
      <c r="Z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  <c r="R801" s="57"/>
      <c r="S801" s="57"/>
      <c r="T801" s="57"/>
      <c r="U801" s="57"/>
      <c r="V801" s="57"/>
      <c r="W801" s="57"/>
      <c r="X801" s="57"/>
      <c r="Y801" s="57"/>
      <c r="Z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  <c r="R802" s="57"/>
      <c r="S802" s="57"/>
      <c r="T802" s="57"/>
      <c r="U802" s="57"/>
      <c r="V802" s="57"/>
      <c r="W802" s="57"/>
      <c r="X802" s="57"/>
      <c r="Y802" s="57"/>
      <c r="Z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  <c r="R803" s="57"/>
      <c r="S803" s="57"/>
      <c r="T803" s="57"/>
      <c r="U803" s="57"/>
      <c r="V803" s="57"/>
      <c r="W803" s="57"/>
      <c r="X803" s="57"/>
      <c r="Y803" s="57"/>
      <c r="Z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  <c r="R804" s="57"/>
      <c r="S804" s="57"/>
      <c r="T804" s="57"/>
      <c r="U804" s="57"/>
      <c r="V804" s="57"/>
      <c r="W804" s="57"/>
      <c r="X804" s="57"/>
      <c r="Y804" s="57"/>
      <c r="Z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  <c r="R805" s="57"/>
      <c r="S805" s="57"/>
      <c r="T805" s="57"/>
      <c r="U805" s="57"/>
      <c r="V805" s="57"/>
      <c r="W805" s="57"/>
      <c r="X805" s="57"/>
      <c r="Y805" s="57"/>
      <c r="Z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  <c r="R806" s="57"/>
      <c r="S806" s="57"/>
      <c r="T806" s="57"/>
      <c r="U806" s="57"/>
      <c r="V806" s="57"/>
      <c r="W806" s="57"/>
      <c r="X806" s="57"/>
      <c r="Y806" s="57"/>
      <c r="Z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  <c r="R807" s="57"/>
      <c r="S807" s="57"/>
      <c r="T807" s="57"/>
      <c r="U807" s="57"/>
      <c r="V807" s="57"/>
      <c r="W807" s="57"/>
      <c r="X807" s="57"/>
      <c r="Y807" s="57"/>
      <c r="Z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  <c r="R808" s="57"/>
      <c r="S808" s="57"/>
      <c r="T808" s="57"/>
      <c r="U808" s="57"/>
      <c r="V808" s="57"/>
      <c r="W808" s="57"/>
      <c r="X808" s="57"/>
      <c r="Y808" s="57"/>
      <c r="Z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  <c r="R809" s="57"/>
      <c r="S809" s="57"/>
      <c r="T809" s="57"/>
      <c r="U809" s="57"/>
      <c r="V809" s="57"/>
      <c r="W809" s="57"/>
      <c r="X809" s="57"/>
      <c r="Y809" s="57"/>
      <c r="Z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  <c r="R810" s="57"/>
      <c r="S810" s="57"/>
      <c r="T810" s="57"/>
      <c r="U810" s="57"/>
      <c r="V810" s="57"/>
      <c r="W810" s="57"/>
      <c r="X810" s="57"/>
      <c r="Y810" s="57"/>
      <c r="Z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  <c r="R811" s="57"/>
      <c r="S811" s="57"/>
      <c r="T811" s="57"/>
      <c r="U811" s="57"/>
      <c r="V811" s="57"/>
      <c r="W811" s="57"/>
      <c r="X811" s="57"/>
      <c r="Y811" s="57"/>
      <c r="Z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  <c r="R812" s="57"/>
      <c r="S812" s="57"/>
      <c r="T812" s="57"/>
      <c r="U812" s="57"/>
      <c r="V812" s="57"/>
      <c r="W812" s="57"/>
      <c r="X812" s="57"/>
      <c r="Y812" s="57"/>
      <c r="Z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  <c r="R813" s="57"/>
      <c r="S813" s="57"/>
      <c r="T813" s="57"/>
      <c r="U813" s="57"/>
      <c r="V813" s="57"/>
      <c r="W813" s="57"/>
      <c r="X813" s="57"/>
      <c r="Y813" s="57"/>
      <c r="Z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  <c r="R814" s="57"/>
      <c r="S814" s="57"/>
      <c r="T814" s="57"/>
      <c r="U814" s="57"/>
      <c r="V814" s="57"/>
      <c r="W814" s="57"/>
      <c r="X814" s="57"/>
      <c r="Y814" s="57"/>
      <c r="Z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  <c r="R815" s="57"/>
      <c r="S815" s="57"/>
      <c r="T815" s="57"/>
      <c r="U815" s="57"/>
      <c r="V815" s="57"/>
      <c r="W815" s="57"/>
      <c r="X815" s="57"/>
      <c r="Y815" s="57"/>
      <c r="Z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  <c r="R816" s="57"/>
      <c r="S816" s="57"/>
      <c r="T816" s="57"/>
      <c r="U816" s="57"/>
      <c r="V816" s="57"/>
      <c r="W816" s="57"/>
      <c r="X816" s="57"/>
      <c r="Y816" s="57"/>
      <c r="Z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  <c r="R817" s="57"/>
      <c r="S817" s="57"/>
      <c r="T817" s="57"/>
      <c r="U817" s="57"/>
      <c r="V817" s="57"/>
      <c r="W817" s="57"/>
      <c r="X817" s="57"/>
      <c r="Y817" s="57"/>
      <c r="Z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  <c r="R818" s="57"/>
      <c r="S818" s="57"/>
      <c r="T818" s="57"/>
      <c r="U818" s="57"/>
      <c r="V818" s="57"/>
      <c r="W818" s="57"/>
      <c r="X818" s="57"/>
      <c r="Y818" s="57"/>
      <c r="Z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  <c r="R819" s="57"/>
      <c r="S819" s="57"/>
      <c r="T819" s="57"/>
      <c r="U819" s="57"/>
      <c r="V819" s="57"/>
      <c r="W819" s="57"/>
      <c r="X819" s="57"/>
      <c r="Y819" s="57"/>
      <c r="Z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  <c r="R820" s="57"/>
      <c r="S820" s="57"/>
      <c r="T820" s="57"/>
      <c r="U820" s="57"/>
      <c r="V820" s="57"/>
      <c r="W820" s="57"/>
      <c r="X820" s="57"/>
      <c r="Y820" s="57"/>
      <c r="Z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  <c r="R822" s="57"/>
      <c r="S822" s="57"/>
      <c r="T822" s="57"/>
      <c r="U822" s="57"/>
      <c r="V822" s="57"/>
      <c r="W822" s="57"/>
      <c r="X822" s="57"/>
      <c r="Y822" s="57"/>
      <c r="Z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  <c r="R823" s="57"/>
      <c r="S823" s="57"/>
      <c r="T823" s="57"/>
      <c r="U823" s="57"/>
      <c r="V823" s="57"/>
      <c r="W823" s="57"/>
      <c r="X823" s="57"/>
      <c r="Y823" s="57"/>
      <c r="Z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  <c r="R824" s="57"/>
      <c r="S824" s="57"/>
      <c r="T824" s="57"/>
      <c r="U824" s="57"/>
      <c r="V824" s="57"/>
      <c r="W824" s="57"/>
      <c r="X824" s="57"/>
      <c r="Y824" s="57"/>
      <c r="Z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  <c r="R825" s="57"/>
      <c r="S825" s="57"/>
      <c r="T825" s="57"/>
      <c r="U825" s="57"/>
      <c r="V825" s="57"/>
      <c r="W825" s="57"/>
      <c r="X825" s="57"/>
      <c r="Y825" s="57"/>
      <c r="Z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  <c r="R826" s="57"/>
      <c r="S826" s="57"/>
      <c r="T826" s="57"/>
      <c r="U826" s="57"/>
      <c r="V826" s="57"/>
      <c r="W826" s="57"/>
      <c r="X826" s="57"/>
      <c r="Y826" s="57"/>
      <c r="Z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  <c r="R827" s="57"/>
      <c r="S827" s="57"/>
      <c r="T827" s="57"/>
      <c r="U827" s="57"/>
      <c r="V827" s="57"/>
      <c r="W827" s="57"/>
      <c r="X827" s="57"/>
      <c r="Y827" s="57"/>
      <c r="Z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  <c r="R828" s="57"/>
      <c r="S828" s="57"/>
      <c r="T828" s="57"/>
      <c r="U828" s="57"/>
      <c r="V828" s="57"/>
      <c r="W828" s="57"/>
      <c r="X828" s="57"/>
      <c r="Y828" s="57"/>
      <c r="Z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  <c r="R829" s="57"/>
      <c r="S829" s="57"/>
      <c r="T829" s="57"/>
      <c r="U829" s="57"/>
      <c r="V829" s="57"/>
      <c r="W829" s="57"/>
      <c r="X829" s="57"/>
      <c r="Y829" s="57"/>
      <c r="Z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  <c r="R830" s="57"/>
      <c r="S830" s="57"/>
      <c r="T830" s="57"/>
      <c r="U830" s="57"/>
      <c r="V830" s="57"/>
      <c r="W830" s="57"/>
      <c r="X830" s="57"/>
      <c r="Y830" s="57"/>
      <c r="Z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  <c r="R831" s="57"/>
      <c r="S831" s="57"/>
      <c r="T831" s="57"/>
      <c r="U831" s="57"/>
      <c r="V831" s="57"/>
      <c r="W831" s="57"/>
      <c r="X831" s="57"/>
      <c r="Y831" s="57"/>
      <c r="Z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  <c r="R832" s="57"/>
      <c r="S832" s="57"/>
      <c r="T832" s="57"/>
      <c r="U832" s="57"/>
      <c r="V832" s="57"/>
      <c r="W832" s="57"/>
      <c r="X832" s="57"/>
      <c r="Y832" s="57"/>
      <c r="Z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  <c r="R833" s="57"/>
      <c r="S833" s="57"/>
      <c r="T833" s="57"/>
      <c r="U833" s="57"/>
      <c r="V833" s="57"/>
      <c r="W833" s="57"/>
      <c r="X833" s="57"/>
      <c r="Y833" s="57"/>
      <c r="Z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  <c r="R834" s="57"/>
      <c r="S834" s="57"/>
      <c r="T834" s="57"/>
      <c r="U834" s="57"/>
      <c r="V834" s="57"/>
      <c r="W834" s="57"/>
      <c r="X834" s="57"/>
      <c r="Y834" s="57"/>
      <c r="Z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  <c r="R835" s="57"/>
      <c r="S835" s="57"/>
      <c r="T835" s="57"/>
      <c r="U835" s="57"/>
      <c r="V835" s="57"/>
      <c r="W835" s="57"/>
      <c r="X835" s="57"/>
      <c r="Y835" s="57"/>
      <c r="Z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  <c r="R836" s="57"/>
      <c r="S836" s="57"/>
      <c r="T836" s="57"/>
      <c r="U836" s="57"/>
      <c r="V836" s="57"/>
      <c r="W836" s="57"/>
      <c r="X836" s="57"/>
      <c r="Y836" s="57"/>
      <c r="Z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  <c r="R837" s="57"/>
      <c r="S837" s="57"/>
      <c r="T837" s="57"/>
      <c r="U837" s="57"/>
      <c r="V837" s="57"/>
      <c r="W837" s="57"/>
      <c r="X837" s="57"/>
      <c r="Y837" s="57"/>
      <c r="Z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  <c r="R838" s="57"/>
      <c r="S838" s="57"/>
      <c r="T838" s="57"/>
      <c r="U838" s="57"/>
      <c r="V838" s="57"/>
      <c r="W838" s="57"/>
      <c r="X838" s="57"/>
      <c r="Y838" s="57"/>
      <c r="Z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  <c r="R839" s="57"/>
      <c r="S839" s="57"/>
      <c r="T839" s="57"/>
      <c r="U839" s="57"/>
      <c r="V839" s="57"/>
      <c r="W839" s="57"/>
      <c r="X839" s="57"/>
      <c r="Y839" s="57"/>
      <c r="Z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  <c r="R840" s="57"/>
      <c r="S840" s="57"/>
      <c r="T840" s="57"/>
      <c r="U840" s="57"/>
      <c r="V840" s="57"/>
      <c r="W840" s="57"/>
      <c r="X840" s="57"/>
      <c r="Y840" s="57"/>
      <c r="Z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  <c r="R841" s="57"/>
      <c r="S841" s="57"/>
      <c r="T841" s="57"/>
      <c r="U841" s="57"/>
      <c r="V841" s="57"/>
      <c r="W841" s="57"/>
      <c r="X841" s="57"/>
      <c r="Y841" s="57"/>
      <c r="Z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  <c r="R842" s="57"/>
      <c r="S842" s="57"/>
      <c r="T842" s="57"/>
      <c r="U842" s="57"/>
      <c r="V842" s="57"/>
      <c r="W842" s="57"/>
      <c r="X842" s="57"/>
      <c r="Y842" s="57"/>
      <c r="Z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  <c r="R843" s="57"/>
      <c r="S843" s="57"/>
      <c r="T843" s="57"/>
      <c r="U843" s="57"/>
      <c r="V843" s="57"/>
      <c r="W843" s="57"/>
      <c r="X843" s="57"/>
      <c r="Y843" s="57"/>
      <c r="Z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  <c r="R844" s="57"/>
      <c r="S844" s="57"/>
      <c r="T844" s="57"/>
      <c r="U844" s="57"/>
      <c r="V844" s="57"/>
      <c r="W844" s="57"/>
      <c r="X844" s="57"/>
      <c r="Y844" s="57"/>
      <c r="Z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  <c r="R845" s="57"/>
      <c r="S845" s="57"/>
      <c r="T845" s="57"/>
      <c r="U845" s="57"/>
      <c r="V845" s="57"/>
      <c r="W845" s="57"/>
      <c r="X845" s="57"/>
      <c r="Y845" s="57"/>
      <c r="Z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  <c r="R846" s="57"/>
      <c r="S846" s="57"/>
      <c r="T846" s="57"/>
      <c r="U846" s="57"/>
      <c r="V846" s="57"/>
      <c r="W846" s="57"/>
      <c r="X846" s="57"/>
      <c r="Y846" s="57"/>
      <c r="Z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  <c r="R847" s="57"/>
      <c r="S847" s="57"/>
      <c r="T847" s="57"/>
      <c r="U847" s="57"/>
      <c r="V847" s="57"/>
      <c r="W847" s="57"/>
      <c r="X847" s="57"/>
      <c r="Y847" s="57"/>
      <c r="Z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  <c r="R848" s="57"/>
      <c r="S848" s="57"/>
      <c r="T848" s="57"/>
      <c r="U848" s="57"/>
      <c r="V848" s="57"/>
      <c r="W848" s="57"/>
      <c r="X848" s="57"/>
      <c r="Y848" s="57"/>
      <c r="Z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  <c r="R849" s="57"/>
      <c r="S849" s="57"/>
      <c r="T849" s="57"/>
      <c r="U849" s="57"/>
      <c r="V849" s="57"/>
      <c r="W849" s="57"/>
      <c r="X849" s="57"/>
      <c r="Y849" s="57"/>
      <c r="Z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  <c r="R850" s="57"/>
      <c r="S850" s="57"/>
      <c r="T850" s="57"/>
      <c r="U850" s="57"/>
      <c r="V850" s="57"/>
      <c r="W850" s="57"/>
      <c r="X850" s="57"/>
      <c r="Y850" s="57"/>
      <c r="Z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  <c r="R851" s="57"/>
      <c r="S851" s="57"/>
      <c r="T851" s="57"/>
      <c r="U851" s="57"/>
      <c r="V851" s="57"/>
      <c r="W851" s="57"/>
      <c r="X851" s="57"/>
      <c r="Y851" s="57"/>
      <c r="Z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  <c r="R852" s="57"/>
      <c r="S852" s="57"/>
      <c r="T852" s="57"/>
      <c r="U852" s="57"/>
      <c r="V852" s="57"/>
      <c r="W852" s="57"/>
      <c r="X852" s="57"/>
      <c r="Y852" s="57"/>
      <c r="Z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  <c r="R853" s="57"/>
      <c r="S853" s="57"/>
      <c r="T853" s="57"/>
      <c r="U853" s="57"/>
      <c r="V853" s="57"/>
      <c r="W853" s="57"/>
      <c r="X853" s="57"/>
      <c r="Y853" s="57"/>
      <c r="Z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  <c r="R854" s="57"/>
      <c r="S854" s="57"/>
      <c r="T854" s="57"/>
      <c r="U854" s="57"/>
      <c r="V854" s="57"/>
      <c r="W854" s="57"/>
      <c r="X854" s="57"/>
      <c r="Y854" s="57"/>
      <c r="Z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  <c r="R855" s="57"/>
      <c r="S855" s="57"/>
      <c r="T855" s="57"/>
      <c r="U855" s="57"/>
      <c r="V855" s="57"/>
      <c r="W855" s="57"/>
      <c r="X855" s="57"/>
      <c r="Y855" s="57"/>
      <c r="Z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  <c r="R856" s="57"/>
      <c r="S856" s="57"/>
      <c r="T856" s="57"/>
      <c r="U856" s="57"/>
      <c r="V856" s="57"/>
      <c r="W856" s="57"/>
      <c r="X856" s="57"/>
      <c r="Y856" s="57"/>
      <c r="Z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  <c r="R857" s="57"/>
      <c r="S857" s="57"/>
      <c r="T857" s="57"/>
      <c r="U857" s="57"/>
      <c r="V857" s="57"/>
      <c r="W857" s="57"/>
      <c r="X857" s="57"/>
      <c r="Y857" s="57"/>
      <c r="Z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  <c r="R858" s="57"/>
      <c r="S858" s="57"/>
      <c r="T858" s="57"/>
      <c r="U858" s="57"/>
      <c r="V858" s="57"/>
      <c r="W858" s="57"/>
      <c r="X858" s="57"/>
      <c r="Y858" s="57"/>
      <c r="Z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  <c r="R860" s="57"/>
      <c r="S860" s="57"/>
      <c r="T860" s="57"/>
      <c r="U860" s="57"/>
      <c r="V860" s="57"/>
      <c r="W860" s="57"/>
      <c r="X860" s="57"/>
      <c r="Y860" s="57"/>
      <c r="Z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  <c r="R861" s="57"/>
      <c r="S861" s="57"/>
      <c r="T861" s="57"/>
      <c r="U861" s="57"/>
      <c r="V861" s="57"/>
      <c r="W861" s="57"/>
      <c r="X861" s="57"/>
      <c r="Y861" s="57"/>
      <c r="Z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  <c r="R862" s="57"/>
      <c r="S862" s="57"/>
      <c r="T862" s="57"/>
      <c r="U862" s="57"/>
      <c r="V862" s="57"/>
      <c r="W862" s="57"/>
      <c r="X862" s="57"/>
      <c r="Y862" s="57"/>
      <c r="Z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  <c r="R863" s="57"/>
      <c r="S863" s="57"/>
      <c r="T863" s="57"/>
      <c r="U863" s="57"/>
      <c r="V863" s="57"/>
      <c r="W863" s="57"/>
      <c r="X863" s="57"/>
      <c r="Y863" s="57"/>
      <c r="Z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  <c r="R864" s="57"/>
      <c r="S864" s="57"/>
      <c r="T864" s="57"/>
      <c r="U864" s="57"/>
      <c r="V864" s="57"/>
      <c r="W864" s="57"/>
      <c r="X864" s="57"/>
      <c r="Y864" s="57"/>
      <c r="Z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  <c r="R865" s="57"/>
      <c r="S865" s="57"/>
      <c r="T865" s="57"/>
      <c r="U865" s="57"/>
      <c r="V865" s="57"/>
      <c r="W865" s="57"/>
      <c r="X865" s="57"/>
      <c r="Y865" s="57"/>
      <c r="Z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  <c r="R866" s="57"/>
      <c r="S866" s="57"/>
      <c r="T866" s="57"/>
      <c r="U866" s="57"/>
      <c r="V866" s="57"/>
      <c r="W866" s="57"/>
      <c r="X866" s="57"/>
      <c r="Y866" s="57"/>
      <c r="Z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  <c r="R867" s="57"/>
      <c r="S867" s="57"/>
      <c r="T867" s="57"/>
      <c r="U867" s="57"/>
      <c r="V867" s="57"/>
      <c r="W867" s="57"/>
      <c r="X867" s="57"/>
      <c r="Y867" s="57"/>
      <c r="Z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  <c r="R868" s="57"/>
      <c r="S868" s="57"/>
      <c r="T868" s="57"/>
      <c r="U868" s="57"/>
      <c r="V868" s="57"/>
      <c r="W868" s="57"/>
      <c r="X868" s="57"/>
      <c r="Y868" s="57"/>
      <c r="Z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  <c r="R869" s="57"/>
      <c r="S869" s="57"/>
      <c r="T869" s="57"/>
      <c r="U869" s="57"/>
      <c r="V869" s="57"/>
      <c r="W869" s="57"/>
      <c r="X869" s="57"/>
      <c r="Y869" s="57"/>
      <c r="Z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  <c r="R870" s="57"/>
      <c r="S870" s="57"/>
      <c r="T870" s="57"/>
      <c r="U870" s="57"/>
      <c r="V870" s="57"/>
      <c r="W870" s="57"/>
      <c r="X870" s="57"/>
      <c r="Y870" s="57"/>
      <c r="Z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  <c r="R871" s="57"/>
      <c r="S871" s="57"/>
      <c r="T871" s="57"/>
      <c r="U871" s="57"/>
      <c r="V871" s="57"/>
      <c r="W871" s="57"/>
      <c r="X871" s="57"/>
      <c r="Y871" s="57"/>
      <c r="Z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  <c r="R872" s="57"/>
      <c r="S872" s="57"/>
      <c r="T872" s="57"/>
      <c r="U872" s="57"/>
      <c r="V872" s="57"/>
      <c r="W872" s="57"/>
      <c r="X872" s="57"/>
      <c r="Y872" s="57"/>
      <c r="Z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  <c r="R873" s="57"/>
      <c r="S873" s="57"/>
      <c r="T873" s="57"/>
      <c r="U873" s="57"/>
      <c r="V873" s="57"/>
      <c r="W873" s="57"/>
      <c r="X873" s="57"/>
      <c r="Y873" s="57"/>
      <c r="Z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  <c r="R874" s="57"/>
      <c r="S874" s="57"/>
      <c r="T874" s="57"/>
      <c r="U874" s="57"/>
      <c r="V874" s="57"/>
      <c r="W874" s="57"/>
      <c r="X874" s="57"/>
      <c r="Y874" s="57"/>
      <c r="Z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  <c r="R875" s="57"/>
      <c r="S875" s="57"/>
      <c r="T875" s="57"/>
      <c r="U875" s="57"/>
      <c r="V875" s="57"/>
      <c r="W875" s="57"/>
      <c r="X875" s="57"/>
      <c r="Y875" s="57"/>
      <c r="Z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  <c r="R876" s="57"/>
      <c r="S876" s="57"/>
      <c r="T876" s="57"/>
      <c r="U876" s="57"/>
      <c r="V876" s="57"/>
      <c r="W876" s="57"/>
      <c r="X876" s="57"/>
      <c r="Y876" s="57"/>
      <c r="Z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  <c r="R877" s="57"/>
      <c r="S877" s="57"/>
      <c r="T877" s="57"/>
      <c r="U877" s="57"/>
      <c r="V877" s="57"/>
      <c r="W877" s="57"/>
      <c r="X877" s="57"/>
      <c r="Y877" s="57"/>
      <c r="Z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  <c r="R878" s="57"/>
      <c r="S878" s="57"/>
      <c r="T878" s="57"/>
      <c r="U878" s="57"/>
      <c r="V878" s="57"/>
      <c r="W878" s="57"/>
      <c r="X878" s="57"/>
      <c r="Y878" s="57"/>
      <c r="Z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  <c r="R879" s="57"/>
      <c r="S879" s="57"/>
      <c r="T879" s="57"/>
      <c r="U879" s="57"/>
      <c r="V879" s="57"/>
      <c r="W879" s="57"/>
      <c r="X879" s="57"/>
      <c r="Y879" s="57"/>
      <c r="Z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  <c r="R880" s="57"/>
      <c r="S880" s="57"/>
      <c r="T880" s="57"/>
      <c r="U880" s="57"/>
      <c r="V880" s="57"/>
      <c r="W880" s="57"/>
      <c r="X880" s="57"/>
      <c r="Y880" s="57"/>
      <c r="Z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  <c r="R881" s="57"/>
      <c r="S881" s="57"/>
      <c r="T881" s="57"/>
      <c r="U881" s="57"/>
      <c r="V881" s="57"/>
      <c r="W881" s="57"/>
      <c r="X881" s="57"/>
      <c r="Y881" s="57"/>
      <c r="Z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  <c r="R882" s="57"/>
      <c r="S882" s="57"/>
      <c r="T882" s="57"/>
      <c r="U882" s="57"/>
      <c r="V882" s="57"/>
      <c r="W882" s="57"/>
      <c r="X882" s="57"/>
      <c r="Y882" s="57"/>
      <c r="Z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  <c r="R883" s="57"/>
      <c r="S883" s="57"/>
      <c r="T883" s="57"/>
      <c r="U883" s="57"/>
      <c r="V883" s="57"/>
      <c r="W883" s="57"/>
      <c r="X883" s="57"/>
      <c r="Y883" s="57"/>
      <c r="Z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  <c r="R884" s="57"/>
      <c r="S884" s="57"/>
      <c r="T884" s="57"/>
      <c r="U884" s="57"/>
      <c r="V884" s="57"/>
      <c r="W884" s="57"/>
      <c r="X884" s="57"/>
      <c r="Y884" s="57"/>
      <c r="Z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  <c r="R885" s="57"/>
      <c r="S885" s="57"/>
      <c r="T885" s="57"/>
      <c r="U885" s="57"/>
      <c r="V885" s="57"/>
      <c r="W885" s="57"/>
      <c r="X885" s="57"/>
      <c r="Y885" s="57"/>
      <c r="Z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  <c r="R886" s="57"/>
      <c r="S886" s="57"/>
      <c r="T886" s="57"/>
      <c r="U886" s="57"/>
      <c r="V886" s="57"/>
      <c r="W886" s="57"/>
      <c r="X886" s="57"/>
      <c r="Y886" s="57"/>
      <c r="Z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  <c r="R887" s="57"/>
      <c r="S887" s="57"/>
      <c r="T887" s="57"/>
      <c r="U887" s="57"/>
      <c r="V887" s="57"/>
      <c r="W887" s="57"/>
      <c r="X887" s="57"/>
      <c r="Y887" s="57"/>
      <c r="Z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  <c r="R888" s="57"/>
      <c r="S888" s="57"/>
      <c r="T888" s="57"/>
      <c r="U888" s="57"/>
      <c r="V888" s="57"/>
      <c r="W888" s="57"/>
      <c r="X888" s="57"/>
      <c r="Y888" s="57"/>
      <c r="Z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  <c r="R889" s="57"/>
      <c r="S889" s="57"/>
      <c r="T889" s="57"/>
      <c r="U889" s="57"/>
      <c r="V889" s="57"/>
      <c r="W889" s="57"/>
      <c r="X889" s="57"/>
      <c r="Y889" s="57"/>
      <c r="Z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  <c r="R890" s="57"/>
      <c r="S890" s="57"/>
      <c r="T890" s="57"/>
      <c r="U890" s="57"/>
      <c r="V890" s="57"/>
      <c r="W890" s="57"/>
      <c r="X890" s="57"/>
      <c r="Y890" s="57"/>
      <c r="Z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  <c r="R891" s="57"/>
      <c r="S891" s="57"/>
      <c r="T891" s="57"/>
      <c r="U891" s="57"/>
      <c r="V891" s="57"/>
      <c r="W891" s="57"/>
      <c r="X891" s="57"/>
      <c r="Y891" s="57"/>
      <c r="Z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  <c r="R892" s="57"/>
      <c r="S892" s="57"/>
      <c r="T892" s="57"/>
      <c r="U892" s="57"/>
      <c r="V892" s="57"/>
      <c r="W892" s="57"/>
      <c r="X892" s="57"/>
      <c r="Y892" s="57"/>
      <c r="Z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  <c r="R893" s="57"/>
      <c r="S893" s="57"/>
      <c r="T893" s="57"/>
      <c r="U893" s="57"/>
      <c r="V893" s="57"/>
      <c r="W893" s="57"/>
      <c r="X893" s="57"/>
      <c r="Y893" s="57"/>
      <c r="Z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  <c r="R894" s="57"/>
      <c r="S894" s="57"/>
      <c r="T894" s="57"/>
      <c r="U894" s="57"/>
      <c r="V894" s="57"/>
      <c r="W894" s="57"/>
      <c r="X894" s="57"/>
      <c r="Y894" s="57"/>
      <c r="Z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  <c r="R895" s="57"/>
      <c r="S895" s="57"/>
      <c r="T895" s="57"/>
      <c r="U895" s="57"/>
      <c r="V895" s="57"/>
      <c r="W895" s="57"/>
      <c r="X895" s="57"/>
      <c r="Y895" s="57"/>
      <c r="Z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  <c r="R896" s="57"/>
      <c r="S896" s="57"/>
      <c r="T896" s="57"/>
      <c r="U896" s="57"/>
      <c r="V896" s="57"/>
      <c r="W896" s="57"/>
      <c r="X896" s="57"/>
      <c r="Y896" s="57"/>
      <c r="Z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  <c r="R898" s="57"/>
      <c r="S898" s="57"/>
      <c r="T898" s="57"/>
      <c r="U898" s="57"/>
      <c r="V898" s="57"/>
      <c r="W898" s="57"/>
      <c r="X898" s="57"/>
      <c r="Y898" s="57"/>
      <c r="Z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  <c r="R899" s="57"/>
      <c r="S899" s="57"/>
      <c r="T899" s="57"/>
      <c r="U899" s="57"/>
      <c r="V899" s="57"/>
      <c r="W899" s="57"/>
      <c r="X899" s="57"/>
      <c r="Y899" s="57"/>
      <c r="Z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  <c r="R900" s="57"/>
      <c r="S900" s="57"/>
      <c r="T900" s="57"/>
      <c r="U900" s="57"/>
      <c r="V900" s="57"/>
      <c r="W900" s="57"/>
      <c r="X900" s="57"/>
      <c r="Y900" s="57"/>
      <c r="Z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  <c r="R901" s="57"/>
      <c r="S901" s="57"/>
      <c r="T901" s="57"/>
      <c r="U901" s="57"/>
      <c r="V901" s="57"/>
      <c r="W901" s="57"/>
      <c r="X901" s="57"/>
      <c r="Y901" s="57"/>
      <c r="Z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  <c r="R902" s="57"/>
      <c r="S902" s="57"/>
      <c r="T902" s="57"/>
      <c r="U902" s="57"/>
      <c r="V902" s="57"/>
      <c r="W902" s="57"/>
      <c r="X902" s="57"/>
      <c r="Y902" s="57"/>
      <c r="Z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  <c r="R903" s="57"/>
      <c r="S903" s="57"/>
      <c r="T903" s="57"/>
      <c r="U903" s="57"/>
      <c r="V903" s="57"/>
      <c r="W903" s="57"/>
      <c r="X903" s="57"/>
      <c r="Y903" s="57"/>
      <c r="Z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  <c r="R904" s="57"/>
      <c r="S904" s="57"/>
      <c r="T904" s="57"/>
      <c r="U904" s="57"/>
      <c r="V904" s="57"/>
      <c r="W904" s="57"/>
      <c r="X904" s="57"/>
      <c r="Y904" s="57"/>
      <c r="Z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  <c r="R905" s="57"/>
      <c r="S905" s="57"/>
      <c r="T905" s="57"/>
      <c r="U905" s="57"/>
      <c r="V905" s="57"/>
      <c r="W905" s="57"/>
      <c r="X905" s="57"/>
      <c r="Y905" s="57"/>
      <c r="Z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  <c r="R906" s="57"/>
      <c r="S906" s="57"/>
      <c r="T906" s="57"/>
      <c r="U906" s="57"/>
      <c r="V906" s="57"/>
      <c r="W906" s="57"/>
      <c r="X906" s="57"/>
      <c r="Y906" s="57"/>
      <c r="Z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  <c r="R907" s="57"/>
      <c r="S907" s="57"/>
      <c r="T907" s="57"/>
      <c r="U907" s="57"/>
      <c r="V907" s="57"/>
      <c r="W907" s="57"/>
      <c r="X907" s="57"/>
      <c r="Y907" s="57"/>
      <c r="Z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  <c r="R908" s="57"/>
      <c r="S908" s="57"/>
      <c r="T908" s="57"/>
      <c r="U908" s="57"/>
      <c r="V908" s="57"/>
      <c r="W908" s="57"/>
      <c r="X908" s="57"/>
      <c r="Y908" s="57"/>
      <c r="Z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  <c r="R909" s="57"/>
      <c r="S909" s="57"/>
      <c r="T909" s="57"/>
      <c r="U909" s="57"/>
      <c r="V909" s="57"/>
      <c r="W909" s="57"/>
      <c r="X909" s="57"/>
      <c r="Y909" s="57"/>
      <c r="Z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  <c r="R910" s="57"/>
      <c r="S910" s="57"/>
      <c r="T910" s="57"/>
      <c r="U910" s="57"/>
      <c r="V910" s="57"/>
      <c r="W910" s="57"/>
      <c r="X910" s="57"/>
      <c r="Y910" s="57"/>
      <c r="Z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  <c r="R911" s="57"/>
      <c r="S911" s="57"/>
      <c r="T911" s="57"/>
      <c r="U911" s="57"/>
      <c r="V911" s="57"/>
      <c r="W911" s="57"/>
      <c r="X911" s="57"/>
      <c r="Y911" s="57"/>
      <c r="Z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  <c r="R912" s="57"/>
      <c r="S912" s="57"/>
      <c r="T912" s="57"/>
      <c r="U912" s="57"/>
      <c r="V912" s="57"/>
      <c r="W912" s="57"/>
      <c r="X912" s="57"/>
      <c r="Y912" s="57"/>
      <c r="Z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  <c r="R913" s="57"/>
      <c r="S913" s="57"/>
      <c r="T913" s="57"/>
      <c r="U913" s="57"/>
      <c r="V913" s="57"/>
      <c r="W913" s="57"/>
      <c r="X913" s="57"/>
      <c r="Y913" s="57"/>
      <c r="Z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  <c r="R914" s="57"/>
      <c r="S914" s="57"/>
      <c r="T914" s="57"/>
      <c r="U914" s="57"/>
      <c r="V914" s="57"/>
      <c r="W914" s="57"/>
      <c r="X914" s="57"/>
      <c r="Y914" s="57"/>
      <c r="Z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  <c r="R915" s="57"/>
      <c r="S915" s="57"/>
      <c r="T915" s="57"/>
      <c r="U915" s="57"/>
      <c r="V915" s="57"/>
      <c r="W915" s="57"/>
      <c r="X915" s="57"/>
      <c r="Y915" s="57"/>
      <c r="Z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  <c r="R916" s="57"/>
      <c r="S916" s="57"/>
      <c r="T916" s="57"/>
      <c r="U916" s="57"/>
      <c r="V916" s="57"/>
      <c r="W916" s="57"/>
      <c r="X916" s="57"/>
      <c r="Y916" s="57"/>
      <c r="Z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  <c r="R917" s="57"/>
      <c r="S917" s="57"/>
      <c r="T917" s="57"/>
      <c r="U917" s="57"/>
      <c r="V917" s="57"/>
      <c r="W917" s="57"/>
      <c r="X917" s="57"/>
      <c r="Y917" s="57"/>
      <c r="Z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  <c r="R918" s="57"/>
      <c r="S918" s="57"/>
      <c r="T918" s="57"/>
      <c r="U918" s="57"/>
      <c r="V918" s="57"/>
      <c r="W918" s="57"/>
      <c r="X918" s="57"/>
      <c r="Y918" s="57"/>
      <c r="Z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  <c r="R919" s="57"/>
      <c r="S919" s="57"/>
      <c r="T919" s="57"/>
      <c r="U919" s="57"/>
      <c r="V919" s="57"/>
      <c r="W919" s="57"/>
      <c r="X919" s="57"/>
      <c r="Y919" s="57"/>
      <c r="Z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  <c r="R920" s="57"/>
      <c r="S920" s="57"/>
      <c r="T920" s="57"/>
      <c r="U920" s="57"/>
      <c r="V920" s="57"/>
      <c r="W920" s="57"/>
      <c r="X920" s="57"/>
      <c r="Y920" s="57"/>
      <c r="Z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  <c r="R921" s="57"/>
      <c r="S921" s="57"/>
      <c r="T921" s="57"/>
      <c r="U921" s="57"/>
      <c r="V921" s="57"/>
      <c r="W921" s="57"/>
      <c r="X921" s="57"/>
      <c r="Y921" s="57"/>
      <c r="Z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  <c r="R922" s="57"/>
      <c r="S922" s="57"/>
      <c r="T922" s="57"/>
      <c r="U922" s="57"/>
      <c r="V922" s="57"/>
      <c r="W922" s="57"/>
      <c r="X922" s="57"/>
      <c r="Y922" s="57"/>
      <c r="Z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  <c r="R923" s="57"/>
      <c r="S923" s="57"/>
      <c r="T923" s="57"/>
      <c r="U923" s="57"/>
      <c r="V923" s="57"/>
      <c r="W923" s="57"/>
      <c r="X923" s="57"/>
      <c r="Y923" s="57"/>
      <c r="Z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  <c r="R924" s="57"/>
      <c r="S924" s="57"/>
      <c r="T924" s="57"/>
      <c r="U924" s="57"/>
      <c r="V924" s="57"/>
      <c r="W924" s="57"/>
      <c r="X924" s="57"/>
      <c r="Y924" s="57"/>
      <c r="Z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  <c r="R925" s="57"/>
      <c r="S925" s="57"/>
      <c r="T925" s="57"/>
      <c r="U925" s="57"/>
      <c r="V925" s="57"/>
      <c r="W925" s="57"/>
      <c r="X925" s="57"/>
      <c r="Y925" s="57"/>
      <c r="Z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  <c r="R926" s="57"/>
      <c r="S926" s="57"/>
      <c r="T926" s="57"/>
      <c r="U926" s="57"/>
      <c r="V926" s="57"/>
      <c r="W926" s="57"/>
      <c r="X926" s="57"/>
      <c r="Y926" s="57"/>
      <c r="Z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  <c r="R927" s="57"/>
      <c r="S927" s="57"/>
      <c r="T927" s="57"/>
      <c r="U927" s="57"/>
      <c r="V927" s="57"/>
      <c r="W927" s="57"/>
      <c r="X927" s="57"/>
      <c r="Y927" s="57"/>
      <c r="Z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  <c r="R928" s="57"/>
      <c r="S928" s="57"/>
      <c r="T928" s="57"/>
      <c r="U928" s="57"/>
      <c r="V928" s="57"/>
      <c r="W928" s="57"/>
      <c r="X928" s="57"/>
      <c r="Y928" s="57"/>
      <c r="Z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  <c r="R929" s="57"/>
      <c r="S929" s="57"/>
      <c r="T929" s="57"/>
      <c r="U929" s="57"/>
      <c r="V929" s="57"/>
      <c r="W929" s="57"/>
      <c r="X929" s="57"/>
      <c r="Y929" s="57"/>
      <c r="Z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  <c r="R930" s="57"/>
      <c r="S930" s="57"/>
      <c r="T930" s="57"/>
      <c r="U930" s="57"/>
      <c r="V930" s="57"/>
      <c r="W930" s="57"/>
      <c r="X930" s="57"/>
      <c r="Y930" s="57"/>
      <c r="Z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  <c r="R931" s="57"/>
      <c r="S931" s="57"/>
      <c r="T931" s="57"/>
      <c r="U931" s="57"/>
      <c r="V931" s="57"/>
      <c r="W931" s="57"/>
      <c r="X931" s="57"/>
      <c r="Y931" s="57"/>
      <c r="Z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  <c r="R932" s="57"/>
      <c r="S932" s="57"/>
      <c r="T932" s="57"/>
      <c r="U932" s="57"/>
      <c r="V932" s="57"/>
      <c r="W932" s="57"/>
      <c r="X932" s="57"/>
      <c r="Y932" s="57"/>
      <c r="Z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  <c r="R933" s="57"/>
      <c r="S933" s="57"/>
      <c r="T933" s="57"/>
      <c r="U933" s="57"/>
      <c r="V933" s="57"/>
      <c r="W933" s="57"/>
      <c r="X933" s="57"/>
      <c r="Y933" s="57"/>
      <c r="Z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  <c r="R934" s="57"/>
      <c r="S934" s="57"/>
      <c r="T934" s="57"/>
      <c r="U934" s="57"/>
      <c r="V934" s="57"/>
      <c r="W934" s="57"/>
      <c r="X934" s="57"/>
      <c r="Y934" s="57"/>
      <c r="Z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  <c r="R936" s="57"/>
      <c r="S936" s="57"/>
      <c r="T936" s="57"/>
      <c r="U936" s="57"/>
      <c r="V936" s="57"/>
      <c r="W936" s="57"/>
      <c r="X936" s="57"/>
      <c r="Y936" s="57"/>
      <c r="Z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  <c r="R937" s="57"/>
      <c r="S937" s="57"/>
      <c r="T937" s="57"/>
      <c r="U937" s="57"/>
      <c r="V937" s="57"/>
      <c r="W937" s="57"/>
      <c r="X937" s="57"/>
      <c r="Y937" s="57"/>
      <c r="Z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  <c r="R938" s="57"/>
      <c r="S938" s="57"/>
      <c r="T938" s="57"/>
      <c r="U938" s="57"/>
      <c r="V938" s="57"/>
      <c r="W938" s="57"/>
      <c r="X938" s="57"/>
      <c r="Y938" s="57"/>
      <c r="Z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  <c r="R939" s="57"/>
      <c r="S939" s="57"/>
      <c r="T939" s="57"/>
      <c r="U939" s="57"/>
      <c r="V939" s="57"/>
      <c r="W939" s="57"/>
      <c r="X939" s="57"/>
      <c r="Y939" s="57"/>
      <c r="Z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  <c r="R940" s="57"/>
      <c r="S940" s="57"/>
      <c r="T940" s="57"/>
      <c r="U940" s="57"/>
      <c r="V940" s="57"/>
      <c r="W940" s="57"/>
      <c r="X940" s="57"/>
      <c r="Y940" s="57"/>
      <c r="Z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  <c r="R941" s="57"/>
      <c r="S941" s="57"/>
      <c r="T941" s="57"/>
      <c r="U941" s="57"/>
      <c r="V941" s="57"/>
      <c r="W941" s="57"/>
      <c r="X941" s="57"/>
      <c r="Y941" s="57"/>
      <c r="Z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  <c r="R942" s="57"/>
      <c r="S942" s="57"/>
      <c r="T942" s="57"/>
      <c r="U942" s="57"/>
      <c r="V942" s="57"/>
      <c r="W942" s="57"/>
      <c r="X942" s="57"/>
      <c r="Y942" s="57"/>
      <c r="Z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  <c r="R943" s="57"/>
      <c r="S943" s="57"/>
      <c r="T943" s="57"/>
      <c r="U943" s="57"/>
      <c r="V943" s="57"/>
      <c r="W943" s="57"/>
      <c r="X943" s="57"/>
      <c r="Y943" s="57"/>
      <c r="Z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  <c r="R944" s="57"/>
      <c r="S944" s="57"/>
      <c r="T944" s="57"/>
      <c r="U944" s="57"/>
      <c r="V944" s="57"/>
      <c r="W944" s="57"/>
      <c r="X944" s="57"/>
      <c r="Y944" s="57"/>
      <c r="Z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  <c r="R945" s="57"/>
      <c r="S945" s="57"/>
      <c r="T945" s="57"/>
      <c r="U945" s="57"/>
      <c r="V945" s="57"/>
      <c r="W945" s="57"/>
      <c r="X945" s="57"/>
      <c r="Y945" s="57"/>
      <c r="Z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  <c r="R946" s="57"/>
      <c r="S946" s="57"/>
      <c r="T946" s="57"/>
      <c r="U946" s="57"/>
      <c r="V946" s="57"/>
      <c r="W946" s="57"/>
      <c r="X946" s="57"/>
      <c r="Y946" s="57"/>
      <c r="Z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  <c r="R947" s="57"/>
      <c r="S947" s="57"/>
      <c r="T947" s="57"/>
      <c r="U947" s="57"/>
      <c r="V947" s="57"/>
      <c r="W947" s="57"/>
      <c r="X947" s="57"/>
      <c r="Y947" s="57"/>
      <c r="Z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  <c r="R948" s="57"/>
      <c r="S948" s="57"/>
      <c r="T948" s="57"/>
      <c r="U948" s="57"/>
      <c r="V948" s="57"/>
      <c r="W948" s="57"/>
      <c r="X948" s="57"/>
      <c r="Y948" s="57"/>
      <c r="Z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  <c r="R949" s="57"/>
      <c r="S949" s="57"/>
      <c r="T949" s="57"/>
      <c r="U949" s="57"/>
      <c r="V949" s="57"/>
      <c r="W949" s="57"/>
      <c r="X949" s="57"/>
      <c r="Y949" s="57"/>
      <c r="Z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  <c r="R950" s="57"/>
      <c r="S950" s="57"/>
      <c r="T950" s="57"/>
      <c r="U950" s="57"/>
      <c r="V950" s="57"/>
      <c r="W950" s="57"/>
      <c r="X950" s="57"/>
      <c r="Y950" s="57"/>
      <c r="Z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  <c r="R951" s="57"/>
      <c r="S951" s="57"/>
      <c r="T951" s="57"/>
      <c r="U951" s="57"/>
      <c r="V951" s="57"/>
      <c r="W951" s="57"/>
      <c r="X951" s="57"/>
      <c r="Y951" s="57"/>
      <c r="Z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  <c r="R952" s="57"/>
      <c r="S952" s="57"/>
      <c r="T952" s="57"/>
      <c r="U952" s="57"/>
      <c r="V952" s="57"/>
      <c r="W952" s="57"/>
      <c r="X952" s="57"/>
      <c r="Y952" s="57"/>
      <c r="Z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  <c r="R953" s="57"/>
      <c r="S953" s="57"/>
      <c r="T953" s="57"/>
      <c r="U953" s="57"/>
      <c r="V953" s="57"/>
      <c r="W953" s="57"/>
      <c r="X953" s="57"/>
      <c r="Y953" s="57"/>
      <c r="Z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  <c r="R954" s="57"/>
      <c r="S954" s="57"/>
      <c r="T954" s="57"/>
      <c r="U954" s="57"/>
      <c r="V954" s="57"/>
      <c r="W954" s="57"/>
      <c r="X954" s="57"/>
      <c r="Y954" s="57"/>
      <c r="Z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  <c r="R955" s="57"/>
      <c r="S955" s="57"/>
      <c r="T955" s="57"/>
      <c r="U955" s="57"/>
      <c r="V955" s="57"/>
      <c r="W955" s="57"/>
      <c r="X955" s="57"/>
      <c r="Y955" s="57"/>
      <c r="Z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  <c r="R956" s="57"/>
      <c r="S956" s="57"/>
      <c r="T956" s="57"/>
      <c r="U956" s="57"/>
      <c r="V956" s="57"/>
      <c r="W956" s="57"/>
      <c r="X956" s="57"/>
      <c r="Y956" s="57"/>
      <c r="Z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  <c r="R957" s="57"/>
      <c r="S957" s="57"/>
      <c r="T957" s="57"/>
      <c r="U957" s="57"/>
      <c r="V957" s="57"/>
      <c r="W957" s="57"/>
      <c r="X957" s="57"/>
      <c r="Y957" s="57"/>
      <c r="Z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  <c r="R958" s="57"/>
      <c r="S958" s="57"/>
      <c r="T958" s="57"/>
      <c r="U958" s="57"/>
      <c r="V958" s="57"/>
      <c r="W958" s="57"/>
      <c r="X958" s="57"/>
      <c r="Y958" s="57"/>
      <c r="Z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  <c r="R959" s="57"/>
      <c r="S959" s="57"/>
      <c r="T959" s="57"/>
      <c r="U959" s="57"/>
      <c r="V959" s="57"/>
      <c r="W959" s="57"/>
      <c r="X959" s="57"/>
      <c r="Y959" s="57"/>
      <c r="Z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  <c r="R960" s="57"/>
      <c r="S960" s="57"/>
      <c r="T960" s="57"/>
      <c r="U960" s="57"/>
      <c r="V960" s="57"/>
      <c r="W960" s="57"/>
      <c r="X960" s="57"/>
      <c r="Y960" s="57"/>
      <c r="Z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  <c r="R961" s="57"/>
      <c r="S961" s="57"/>
      <c r="T961" s="57"/>
      <c r="U961" s="57"/>
      <c r="V961" s="57"/>
      <c r="W961" s="57"/>
      <c r="X961" s="57"/>
      <c r="Y961" s="57"/>
      <c r="Z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  <c r="R962" s="57"/>
      <c r="S962" s="57"/>
      <c r="T962" s="57"/>
      <c r="U962" s="57"/>
      <c r="V962" s="57"/>
      <c r="W962" s="57"/>
      <c r="X962" s="57"/>
      <c r="Y962" s="57"/>
      <c r="Z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  <c r="R963" s="57"/>
      <c r="S963" s="57"/>
      <c r="T963" s="57"/>
      <c r="U963" s="57"/>
      <c r="V963" s="57"/>
      <c r="W963" s="57"/>
      <c r="X963" s="57"/>
      <c r="Y963" s="57"/>
      <c r="Z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  <c r="R964" s="57"/>
      <c r="S964" s="57"/>
      <c r="T964" s="57"/>
      <c r="U964" s="57"/>
      <c r="V964" s="57"/>
      <c r="W964" s="57"/>
      <c r="X964" s="57"/>
      <c r="Y964" s="57"/>
      <c r="Z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  <c r="R965" s="57"/>
      <c r="S965" s="57"/>
      <c r="T965" s="57"/>
      <c r="U965" s="57"/>
      <c r="V965" s="57"/>
      <c r="W965" s="57"/>
      <c r="X965" s="57"/>
      <c r="Y965" s="57"/>
      <c r="Z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  <c r="R966" s="57"/>
      <c r="S966" s="57"/>
      <c r="T966" s="57"/>
      <c r="U966" s="57"/>
      <c r="V966" s="57"/>
      <c r="W966" s="57"/>
      <c r="X966" s="57"/>
      <c r="Y966" s="57"/>
      <c r="Z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  <c r="R967" s="57"/>
      <c r="S967" s="57"/>
      <c r="T967" s="57"/>
      <c r="U967" s="57"/>
      <c r="V967" s="57"/>
      <c r="W967" s="57"/>
      <c r="X967" s="57"/>
      <c r="Y967" s="57"/>
      <c r="Z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  <c r="R968" s="57"/>
      <c r="S968" s="57"/>
      <c r="T968" s="57"/>
      <c r="U968" s="57"/>
      <c r="V968" s="57"/>
      <c r="W968" s="57"/>
      <c r="X968" s="57"/>
      <c r="Y968" s="57"/>
      <c r="Z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  <c r="R969" s="57"/>
      <c r="S969" s="57"/>
      <c r="T969" s="57"/>
      <c r="U969" s="57"/>
      <c r="V969" s="57"/>
      <c r="W969" s="57"/>
      <c r="X969" s="57"/>
      <c r="Y969" s="57"/>
      <c r="Z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  <c r="R970" s="57"/>
      <c r="S970" s="57"/>
      <c r="T970" s="57"/>
      <c r="U970" s="57"/>
      <c r="V970" s="57"/>
      <c r="W970" s="57"/>
      <c r="X970" s="57"/>
      <c r="Y970" s="57"/>
      <c r="Z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  <c r="R971" s="57"/>
      <c r="S971" s="57"/>
      <c r="T971" s="57"/>
      <c r="U971" s="57"/>
      <c r="V971" s="57"/>
      <c r="W971" s="57"/>
      <c r="X971" s="57"/>
      <c r="Y971" s="57"/>
      <c r="Z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  <c r="R972" s="57"/>
      <c r="S972" s="57"/>
      <c r="T972" s="57"/>
      <c r="U972" s="57"/>
      <c r="V972" s="57"/>
      <c r="W972" s="57"/>
      <c r="X972" s="57"/>
      <c r="Y972" s="57"/>
      <c r="Z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  <c r="R974" s="57"/>
      <c r="S974" s="57"/>
      <c r="T974" s="57"/>
      <c r="U974" s="57"/>
      <c r="V974" s="57"/>
      <c r="W974" s="57"/>
      <c r="X974" s="57"/>
      <c r="Y974" s="57"/>
      <c r="Z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  <c r="R975" s="57"/>
      <c r="S975" s="57"/>
      <c r="T975" s="57"/>
      <c r="U975" s="57"/>
      <c r="V975" s="57"/>
      <c r="W975" s="57"/>
      <c r="X975" s="57"/>
      <c r="Y975" s="57"/>
      <c r="Z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  <c r="R976" s="57"/>
      <c r="S976" s="57"/>
      <c r="T976" s="57"/>
      <c r="U976" s="57"/>
      <c r="V976" s="57"/>
      <c r="W976" s="57"/>
      <c r="X976" s="57"/>
      <c r="Y976" s="57"/>
      <c r="Z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  <c r="R977" s="57"/>
      <c r="S977" s="57"/>
      <c r="T977" s="57"/>
      <c r="U977" s="57"/>
      <c r="V977" s="57"/>
      <c r="W977" s="57"/>
      <c r="X977" s="57"/>
      <c r="Y977" s="57"/>
      <c r="Z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  <c r="R978" s="57"/>
      <c r="S978" s="57"/>
      <c r="T978" s="57"/>
      <c r="U978" s="57"/>
      <c r="V978" s="57"/>
      <c r="W978" s="57"/>
      <c r="X978" s="57"/>
      <c r="Y978" s="57"/>
      <c r="Z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  <c r="R979" s="57"/>
      <c r="S979" s="57"/>
      <c r="T979" s="57"/>
      <c r="U979" s="57"/>
      <c r="V979" s="57"/>
      <c r="W979" s="57"/>
      <c r="X979" s="57"/>
      <c r="Y979" s="57"/>
      <c r="Z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  <c r="R980" s="57"/>
      <c r="S980" s="57"/>
      <c r="T980" s="57"/>
      <c r="U980" s="57"/>
      <c r="V980" s="57"/>
      <c r="W980" s="57"/>
      <c r="X980" s="57"/>
      <c r="Y980" s="57"/>
      <c r="Z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  <c r="R981" s="57"/>
      <c r="S981" s="57"/>
      <c r="T981" s="57"/>
      <c r="U981" s="57"/>
      <c r="V981" s="57"/>
      <c r="W981" s="57"/>
      <c r="X981" s="57"/>
      <c r="Y981" s="57"/>
      <c r="Z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  <c r="R982" s="57"/>
      <c r="S982" s="57"/>
      <c r="T982" s="57"/>
      <c r="U982" s="57"/>
      <c r="V982" s="57"/>
      <c r="W982" s="57"/>
      <c r="X982" s="57"/>
      <c r="Y982" s="57"/>
      <c r="Z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  <c r="R983" s="57"/>
      <c r="S983" s="57"/>
      <c r="T983" s="57"/>
      <c r="U983" s="57"/>
      <c r="V983" s="57"/>
      <c r="W983" s="57"/>
      <c r="X983" s="57"/>
      <c r="Y983" s="57"/>
      <c r="Z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  <c r="R984" s="57"/>
      <c r="S984" s="57"/>
      <c r="T984" s="57"/>
      <c r="U984" s="57"/>
      <c r="V984" s="57"/>
      <c r="W984" s="57"/>
      <c r="X984" s="57"/>
      <c r="Y984" s="57"/>
      <c r="Z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  <c r="R985" s="57"/>
      <c r="S985" s="57"/>
      <c r="T985" s="57"/>
      <c r="U985" s="57"/>
      <c r="V985" s="57"/>
      <c r="W985" s="57"/>
      <c r="X985" s="57"/>
      <c r="Y985" s="57"/>
      <c r="Z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  <c r="R986" s="57"/>
      <c r="S986" s="57"/>
      <c r="T986" s="57"/>
      <c r="U986" s="57"/>
      <c r="V986" s="57"/>
      <c r="W986" s="57"/>
      <c r="X986" s="57"/>
      <c r="Y986" s="57"/>
      <c r="Z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  <c r="R987" s="57"/>
      <c r="S987" s="57"/>
      <c r="T987" s="57"/>
      <c r="U987" s="57"/>
      <c r="V987" s="57"/>
      <c r="W987" s="57"/>
      <c r="X987" s="57"/>
      <c r="Y987" s="57"/>
      <c r="Z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  <c r="R988" s="57"/>
      <c r="S988" s="57"/>
      <c r="T988" s="57"/>
      <c r="U988" s="57"/>
      <c r="V988" s="57"/>
      <c r="W988" s="57"/>
      <c r="X988" s="57"/>
      <c r="Y988" s="57"/>
      <c r="Z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  <c r="R989" s="57"/>
      <c r="S989" s="57"/>
      <c r="T989" s="57"/>
      <c r="U989" s="57"/>
      <c r="V989" s="57"/>
      <c r="W989" s="57"/>
      <c r="X989" s="57"/>
      <c r="Y989" s="57"/>
      <c r="Z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  <c r="R990" s="57"/>
      <c r="S990" s="57"/>
      <c r="T990" s="57"/>
      <c r="U990" s="57"/>
      <c r="V990" s="57"/>
      <c r="W990" s="57"/>
      <c r="X990" s="57"/>
      <c r="Y990" s="57"/>
      <c r="Z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  <c r="R991" s="57"/>
      <c r="S991" s="57"/>
      <c r="T991" s="57"/>
      <c r="U991" s="57"/>
      <c r="V991" s="57"/>
      <c r="W991" s="57"/>
      <c r="X991" s="57"/>
      <c r="Y991" s="57"/>
      <c r="Z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7"/>
      <c r="Y992" s="57"/>
      <c r="Z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  <c r="R993" s="57"/>
      <c r="S993" s="57"/>
      <c r="T993" s="57"/>
      <c r="U993" s="57"/>
      <c r="V993" s="57"/>
      <c r="W993" s="57"/>
      <c r="X993" s="57"/>
      <c r="Y993" s="57"/>
      <c r="Z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7"/>
      <c r="Y994" s="57"/>
      <c r="Z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  <c r="R995" s="57"/>
      <c r="S995" s="57"/>
      <c r="T995" s="57"/>
      <c r="U995" s="57"/>
      <c r="V995" s="57"/>
      <c r="W995" s="57"/>
      <c r="X995" s="57"/>
      <c r="Y995" s="57"/>
      <c r="Z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I996" s="57"/>
      <c r="J996" s="57"/>
      <c r="K996" s="57"/>
      <c r="L996" s="57"/>
      <c r="M996" s="57"/>
      <c r="N996" s="57"/>
      <c r="O996" s="57"/>
      <c r="P996" s="57"/>
      <c r="Q996" s="57"/>
      <c r="R996" s="57"/>
      <c r="S996" s="57"/>
      <c r="T996" s="57"/>
      <c r="U996" s="57"/>
      <c r="V996" s="57"/>
      <c r="W996" s="57"/>
      <c r="X996" s="57"/>
      <c r="Y996" s="57"/>
      <c r="Z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I997" s="57"/>
      <c r="J997" s="57"/>
      <c r="K997" s="57"/>
      <c r="L997" s="57"/>
      <c r="M997" s="57"/>
      <c r="N997" s="57"/>
      <c r="O997" s="57"/>
      <c r="P997" s="57"/>
      <c r="Q997" s="57"/>
      <c r="R997" s="57"/>
      <c r="S997" s="57"/>
      <c r="T997" s="57"/>
      <c r="U997" s="57"/>
      <c r="V997" s="57"/>
      <c r="W997" s="57"/>
      <c r="X997" s="57"/>
      <c r="Y997" s="57"/>
      <c r="Z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I998" s="57"/>
      <c r="J998" s="57"/>
      <c r="K998" s="57"/>
      <c r="L998" s="57"/>
      <c r="M998" s="57"/>
      <c r="N998" s="57"/>
      <c r="O998" s="57"/>
      <c r="P998" s="57"/>
      <c r="Q998" s="57"/>
      <c r="R998" s="57"/>
      <c r="S998" s="57"/>
      <c r="T998" s="57"/>
      <c r="U998" s="57"/>
      <c r="V998" s="57"/>
      <c r="W998" s="57"/>
      <c r="X998" s="57"/>
      <c r="Y998" s="57"/>
      <c r="Z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I999" s="57"/>
      <c r="J999" s="57"/>
      <c r="K999" s="57"/>
      <c r="L999" s="57"/>
      <c r="M999" s="57"/>
      <c r="N999" s="57"/>
      <c r="O999" s="57"/>
      <c r="P999" s="57"/>
      <c r="Q999" s="57"/>
      <c r="R999" s="57"/>
      <c r="S999" s="57"/>
      <c r="T999" s="57"/>
      <c r="U999" s="57"/>
      <c r="V999" s="57"/>
      <c r="W999" s="57"/>
      <c r="X999" s="57"/>
      <c r="Y999" s="57"/>
      <c r="Z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I1000" s="57"/>
      <c r="J1000" s="57"/>
      <c r="K1000" s="57"/>
      <c r="L1000" s="57"/>
      <c r="M1000" s="57"/>
      <c r="N1000" s="57"/>
      <c r="O1000" s="57"/>
      <c r="P1000" s="57"/>
      <c r="Q1000" s="57"/>
      <c r="R1000" s="57"/>
      <c r="S1000" s="57"/>
      <c r="T1000" s="57"/>
      <c r="U1000" s="57"/>
      <c r="V1000" s="57"/>
      <c r="W1000" s="57"/>
      <c r="X1000" s="57"/>
      <c r="Y1000" s="57"/>
      <c r="Z1000" s="57"/>
    </row>
  </sheetData>
  <mergeCells count="22">
    <mergeCell ref="A1:K1"/>
    <mergeCell ref="A2:K2"/>
    <mergeCell ref="B4:K4"/>
    <mergeCell ref="B5:E5"/>
    <mergeCell ref="G5:K5"/>
    <mergeCell ref="B6:F6"/>
    <mergeCell ref="G6:K6"/>
    <mergeCell ref="B53:E53"/>
    <mergeCell ref="B54:F54"/>
    <mergeCell ref="G54:K54"/>
    <mergeCell ref="B75:K75"/>
    <mergeCell ref="B76:E76"/>
    <mergeCell ref="G76:K76"/>
    <mergeCell ref="B77:F77"/>
    <mergeCell ref="G77:K77"/>
    <mergeCell ref="B29:K29"/>
    <mergeCell ref="B30:E30"/>
    <mergeCell ref="G30:K30"/>
    <mergeCell ref="B31:F31"/>
    <mergeCell ref="G31:K31"/>
    <mergeCell ref="B52:K52"/>
    <mergeCell ref="G53:K53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2026-04-22T02:46:36Z</dcterms:created>
  <dc:creator>Yashaswini Mohan</dc:creator>
</cp:coreProperties>
</file>